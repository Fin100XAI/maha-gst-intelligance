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Validation Log" sheetId="2" state="visible" r:id="rId4"/>
    <sheet name="Client Master" sheetId="3" state="visible" r:id="rId5"/>
    <sheet name="Client Checklist" sheetId="4" state="visible" r:id="rId6"/>
    <sheet name="Summary" sheetId="5" state="visible" r:id="rId7"/>
    <sheet name="Rule Matrix" sheetId="6" state="visible" r:id="rId8"/>
    <sheet name="Sec 73-74 Classifier" sheetId="7" state="visible" r:id="rId9"/>
    <sheet name="Applicability" sheetId="8" state="visible" r:id="rId10"/>
    <sheet name="Data Sources" sheetId="9" state="visible" r:id="rId11"/>
    <sheet name="Limitation Inputs" sheetId="10" state="visible" r:id="rId12"/>
  </sheets>
  <definedNames>
    <definedName function="false" hidden="true" localSheetId="7" name="_xlnm._FilterDatabase" vbProcedure="false">Applicability!$A$1:$O$142</definedName>
    <definedName function="false" hidden="true" localSheetId="5" name="_xlnm._FilterDatabase" vbProcedure="false">'Rule Matrix'!$A$1:$M$142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<sst xmlns="http://schemas.openxmlformats.org/spreadsheetml/2006/main" count="3917" uniqueCount="1194">
  <si>
    <t xml:space="preserve">GST Scrutiny Tool – Rule Matrix</t>
  </si>
  <si>
    <t xml:space="preserve">Sheet</t>
  </si>
  <si>
    <t xml:space="preserve">Purpose</t>
  </si>
  <si>
    <t xml:space="preserve">Rule Matrix</t>
  </si>
  <si>
    <t xml:space="preserve">One row per check: legal ref, data sources, logic, threshold, severity, exposure basis, action. Yellow columns (Status, Exposure ₹, Remarks) are for the user/system to fill.</t>
  </si>
  <si>
    <t xml:space="preserve">Data Sources</t>
  </si>
  <si>
    <t xml:space="preserve">Inputs the tool must ingest, with key fields.</t>
  </si>
  <si>
    <t xml:space="preserve">Summary</t>
  </si>
  <si>
    <t xml:space="preserve">Auto counts by module/severity/status and total exposure (formulas).</t>
  </si>
  <si>
    <t xml:space="preserve">Sec 73-74 Classifier</t>
  </si>
  <si>
    <t xml:space="preserve">Per flagged issue: enter Rule ID, FY, tax, fraud indicators, payment stage, interest dates → auto section (73/74/74A), SCN &amp; order deadlines, limitation status, penalty, interest, s.128A flag.</t>
  </si>
  <si>
    <t xml:space="preserve">Client Master</t>
  </si>
  <si>
    <t xml:space="preserve">Client list: name, GSTIN, industry (drop-down) and Y/N flags (Exports, Imports, SEZ, E-invoice, Multi-GSTIN). Auto-counts applicable rules.</t>
  </si>
  <si>
    <t xml:space="preserve">Client Checklist</t>
  </si>
  <si>
    <t xml:space="preserve">Select client → auto-filtered list of applicable checks (industry + flags).</t>
  </si>
  <si>
    <t xml:space="preserve">Applicability</t>
  </si>
  <si>
    <t xml:space="preserve">Rule × industry matrix (Y/N, editable) + client flag required per rule. Change a Y/N here and every client's checklist updates.</t>
  </si>
  <si>
    <t xml:space="preserve">Validation Log</t>
  </si>
  <si>
    <t xml:space="preserve">What was verified/corrected on 21-Sep-2026, with sources. Read before using the matrix.</t>
  </si>
  <si>
    <t xml:space="preserve">Limitation Inputs</t>
  </si>
  <si>
    <t xml:space="preserve">Annual return due dates, COVID-extended s.73 deadlines, interest rate, as-of date (editable, blue).</t>
  </si>
  <si>
    <t xml:space="preserve">Status values</t>
  </si>
  <si>
    <t xml:space="preserve">Pending / Pass / Fail / N.A. (drop-down)</t>
  </si>
  <si>
    <t xml:space="preserve">Severity</t>
  </si>
  <si>
    <t xml:space="preserve">High = direct tax exposure likely; Med = exposure possible/conditional; Low = procedural</t>
  </si>
  <si>
    <t xml:space="preserve">Thresholds</t>
  </si>
  <si>
    <t xml:space="preserve">Indicative tolerances — calibrate per client materiality.</t>
  </si>
  <si>
    <t xml:space="preserve">Legal refs</t>
  </si>
  <si>
    <t xml:space="preserve">CGST Act/Rules unless IGST stated; law as understood up to mid-2026 — verify latest amendments/circulars before deployment.</t>
  </si>
  <si>
    <t xml:space="preserve">Example row</t>
  </si>
  <si>
    <t xml:space="preserve">Rule Matrix row 2 (B-01) filled with sample Status 'Fail', Exposure ₹1,25,000 to show format.</t>
  </si>
  <si>
    <t xml:space="preserve">#</t>
  </si>
  <si>
    <t xml:space="preserve">Area</t>
  </si>
  <si>
    <t xml:space="preserve">Provision checked</t>
  </si>
  <si>
    <t xml:space="preserve">Result</t>
  </si>
  <si>
    <t xml:space="preserve">Finding / correction applied</t>
  </si>
  <si>
    <t xml:space="preserve">Primary source</t>
  </si>
  <si>
    <t xml:space="preserve">Demand</t>
  </si>
  <si>
    <t xml:space="preserve">s.73/74 vs s.74A</t>
  </si>
  <si>
    <t xml:space="preserve">Verified</t>
  </si>
  <si>
    <t xml:space="preserve">FY ≤ 2023-24 → s.73/74; FY 2024-25 onwards → s.74A (in force 01.11.2024). SCN 42 months from AR due date; order 12 months (+6).</t>
  </si>
  <si>
    <t xml:space="preserve">Finance (No.2) Act 2024</t>
  </si>
  <si>
    <t xml:space="preserve">s.74A de minimis</t>
  </si>
  <si>
    <t xml:space="preserve">Corrected (added)</t>
  </si>
  <si>
    <t xml:space="preserve">No SCN where tax &lt; ₹1,000 per FY – new rule K + classifier flag.</t>
  </si>
  <si>
    <t xml:space="preserve">s.74A(1) proviso</t>
  </si>
  <si>
    <t xml:space="preserve">Reduced-penalty windows</t>
  </si>
  <si>
    <t xml:space="preserve">30 days (s.73/74) vs 60 days (s.74A).</t>
  </si>
  <si>
    <t xml:space="preserve">s.74A(5),(8)</t>
  </si>
  <si>
    <t xml:space="preserve">168A COVID extensions</t>
  </si>
  <si>
    <t xml:space="preserve">Flag – sub judice</t>
  </si>
  <si>
    <t xml:space="preserve">Madras HC (Tata Play, 12.06.2025) struck down 9/2023 &amp; 56/2023; Telangana HC (Brunda Infra) upheld; SC SLP (HCC-SEW-MEIL-AAG JV) – check final outcome before relying.</t>
  </si>
  <si>
    <t xml:space="preserve">Notfn 9/2023, 56/2023</t>
  </si>
  <si>
    <t xml:space="preserve">Suppression standard</t>
  </si>
  <si>
    <t xml:space="preserve">Added</t>
  </si>
  <si>
    <t xml:space="preserve">SC: Uniworth Textiles, Pushpam Pharmaceuticals, Continental Foundation – intent must be pleaded and proved.</t>
  </si>
  <si>
    <t xml:space="preserve">SC judgments</t>
  </si>
  <si>
    <t xml:space="preserve">ITC</t>
  </si>
  <si>
    <t xml:space="preserve">s.17(5)(d) plant &amp; machinery</t>
  </si>
  <si>
    <t xml:space="preserve">Corrected</t>
  </si>
  <si>
    <t xml:space="preserve">Earlier matrix tagged FA 2025 amendment to cl.(c); correct clause is (d) with Explanation 2, retro 01.07.2017, overriding Safari Retreats.</t>
  </si>
  <si>
    <t xml:space="preserve">Finance Act 2025, s.119 of Bill</t>
  </si>
  <si>
    <t xml:space="preserve">CN</t>
  </si>
  <si>
    <t xml:space="preserve">s.34(2) proviso</t>
  </si>
  <si>
    <t xml:space="preserve">Verified + dated</t>
  </si>
  <si>
    <t xml:space="preserve">Recipient-reversal condition effective 01.10.2025 (Notfn 16/2025-CT), enforced via IMS.</t>
  </si>
  <si>
    <t xml:space="preserve">Finance Act 2025</t>
  </si>
  <si>
    <t xml:space="preserve">s.15(3)(b) post-sale discount</t>
  </si>
  <si>
    <t xml:space="preserve">Updated</t>
  </si>
  <si>
    <t xml:space="preserve">FA 2026 substitution (no pre-agreement) enacted but awaiting notification – old conditions apply until notified. Circ 251/08/2025: no recipient reversal on financial CNs.</t>
  </si>
  <si>
    <t xml:space="preserve">FA 2026; Circ 251/08/2025</t>
  </si>
  <si>
    <t xml:space="preserve">s.16(4) debit note date</t>
  </si>
  <si>
    <t xml:space="preserve">Amendment is FA 2020 w.e.f. 01.01.2021 (not FA 2022).</t>
  </si>
  <si>
    <t xml:space="preserve">Finance Act 2020</t>
  </si>
  <si>
    <t xml:space="preserve">POS</t>
  </si>
  <si>
    <t xml:space="preserve">Intermediary s.13(8)(b)</t>
  </si>
  <si>
    <t xml:space="preserve">Omitted by FA 2026 s.157 w.e.f. 30.03.2026 (prospective). Legacy periods remain exposed; inbound foreign intermediary now RCM.</t>
  </si>
  <si>
    <t xml:space="preserve">Finance Act 2026</t>
  </si>
  <si>
    <t xml:space="preserve">Rates</t>
  </si>
  <si>
    <t xml:space="preserve">Hotel &amp; restaurant</t>
  </si>
  <si>
    <t xml:space="preserve">Rooms ≤ ₹7,500: 5% w/o ITC; &gt; ₹7,500: 18% (22.09.2025). Restaurant at specified premises 18% with ITC (Notfn 05/2025 w.e.f. 01.04.2025).</t>
  </si>
  <si>
    <t xml:space="preserve">Notfn 05/2025, 15/2025-CT(R)</t>
  </si>
  <si>
    <t xml:space="preserve">GTA</t>
  </si>
  <si>
    <t xml:space="preserve">12% FCM replaced by 18% with ITC from 22.09.2025; Annexure V by 31 March (not 15 March).</t>
  </si>
  <si>
    <t xml:space="preserve">Notfn 15/2025-CT(R)</t>
  </si>
  <si>
    <t xml:space="preserve">Real estate 80% / cement</t>
  </si>
  <si>
    <t xml:space="preserve">Shortfall RCM 18%; cement now 18% (was 28%).</t>
  </si>
  <si>
    <t xml:space="preserve">Notfn 3/2019, 15/2025-CT(R)</t>
  </si>
  <si>
    <t xml:space="preserve">Works contract (Govt earthwork)</t>
  </si>
  <si>
    <t xml:space="preserve">12% → 18% with ITC from 22.09.2025.</t>
  </si>
  <si>
    <t xml:space="preserve">56th Council / rate notfns</t>
  </si>
  <si>
    <t xml:space="preserve">Insurance &amp; wellness</t>
  </si>
  <si>
    <t xml:space="preserve">Individual life/health insurance exempt; beauty/wellness 5% w/o ITC from 22.09.2025.</t>
  </si>
  <si>
    <t xml:space="preserve">Banks</t>
  </si>
  <si>
    <t xml:space="preserve">Penal charges</t>
  </si>
  <si>
    <t xml:space="preserve">RBI-mandated penal charges not taxable.</t>
  </si>
  <si>
    <t xml:space="preserve">Circ 245/02/2025</t>
  </si>
  <si>
    <t xml:space="preserve">Education</t>
  </si>
  <si>
    <t xml:space="preserve">Hostel exemption</t>
  </si>
  <si>
    <t xml:space="preserve">≤ ₹20,000 pppm, ≥ 90 days, w.e.f. 15.07.2024.</t>
  </si>
  <si>
    <t xml:space="preserve">Notfn 4/2024-CT(R); Circ 228/22/2024</t>
  </si>
  <si>
    <t xml:space="preserve">Charity</t>
  </si>
  <si>
    <t xml:space="preserve">Donations</t>
  </si>
  <si>
    <t xml:space="preserve">Circular number &amp; scope confirmed.</t>
  </si>
  <si>
    <t xml:space="preserve">Circ 116/35/2019</t>
  </si>
  <si>
    <t xml:space="preserve">RCM</t>
  </si>
  <si>
    <t xml:space="preserve">Rule 47A self-invoice</t>
  </si>
  <si>
    <t xml:space="preserve">30 days from receipt, w.e.f. 01.11.2024.</t>
  </si>
  <si>
    <t xml:space="preserve">Notfn 20/2024-CT</t>
  </si>
  <si>
    <t xml:space="preserve">Metal scrap</t>
  </si>
  <si>
    <t xml:space="preserve">RCM on scrap from URD; TDS on registered scrap purchases.</t>
  </si>
  <si>
    <t xml:space="preserve">Notfn 6/2024-CT(R); 25/2024-CT</t>
  </si>
  <si>
    <t xml:space="preserve">e-Invoice</t>
  </si>
  <si>
    <t xml:space="preserve">30-day IRN window</t>
  </si>
  <si>
    <t xml:space="preserve">AATO ≥ ₹10 cr from 01.04.2025.</t>
  </si>
  <si>
    <t xml:space="preserve">GSTN advisory</t>
  </si>
  <si>
    <t xml:space="preserve">Rule 37A / s.16(2)(c)</t>
  </si>
  <si>
    <t xml:space="preserve">Added defence</t>
  </si>
  <si>
    <t xml:space="preserve">Suncraft Energy line – bona fide recipient; verify post-2022 s.16(2)(aa) position.</t>
  </si>
  <si>
    <t xml:space="preserve">Cal HC; SC SLP dismissed</t>
  </si>
  <si>
    <t xml:space="preserve">Checked on 21-Sep-2026 against CBIC notifications/circulars and reported judgments via web sources. Re-verify before filing any reply; law and SC outcomes may have moved.</t>
  </si>
  <si>
    <t xml:space="preserve">Client Name</t>
  </si>
  <si>
    <t xml:space="preserve">GSTIN</t>
  </si>
  <si>
    <t xml:space="preserve">Industry</t>
  </si>
  <si>
    <t xml:space="preserve">Exports</t>
  </si>
  <si>
    <t xml:space="preserve">Imports</t>
  </si>
  <si>
    <t xml:space="preserve">SEZ Supplies</t>
  </si>
  <si>
    <t xml:space="preserve">E-invoice</t>
  </si>
  <si>
    <t xml:space="preserve">Multi-GSTIN</t>
  </si>
  <si>
    <t xml:space="preserve">Applicable Rules (auto)</t>
  </si>
  <si>
    <t xml:space="preserve">Sample Developers LLP</t>
  </si>
  <si>
    <t xml:space="preserve">27AAAAA0000A1Z5</t>
  </si>
  <si>
    <t xml:space="preserve">Real Estate Developer</t>
  </si>
  <si>
    <t xml:space="preserve">N</t>
  </si>
  <si>
    <t xml:space="preserve">Y</t>
  </si>
  <si>
    <t xml:space="preserve">Sample Traders</t>
  </si>
  <si>
    <t xml:space="preserve">27BBBBB0000B1Z5</t>
  </si>
  <si>
    <t xml:space="preserve">Trader / Retailer</t>
  </si>
  <si>
    <t xml:space="preserve">Sample Co-op Bank Ltd</t>
  </si>
  <si>
    <t xml:space="preserve">27CCCCC0000C1Z5</t>
  </si>
  <si>
    <t xml:space="preserve">Bank / NBFC / Co-op Bank</t>
  </si>
  <si>
    <t xml:space="preserve">Sample Restaurant</t>
  </si>
  <si>
    <t xml:space="preserve">27DDDDD0000D1Z5</t>
  </si>
  <si>
    <t xml:space="preserve">Hotel / Restaurant</t>
  </si>
  <si>
    <t xml:space="preserve">Sample IT Services Pvt Ltd</t>
  </si>
  <si>
    <t xml:space="preserve">27EEEEE0000E1Z5</t>
  </si>
  <si>
    <t xml:space="preserve">Service Provider</t>
  </si>
  <si>
    <t xml:space="preserve">Select Client</t>
  </si>
  <si>
    <t xml:space="preserve">Pick a client in B1 – list below refreshes. For working papers, copy-paste values into a client tab (statuses here don't move with the list).</t>
  </si>
  <si>
    <t xml:space="preserve">Client flags</t>
  </si>
  <si>
    <t xml:space="preserve">Applicable rules</t>
  </si>
  <si>
    <t xml:space="preserve">Sr</t>
  </si>
  <si>
    <t xml:space="preserve">Rule ID</t>
  </si>
  <si>
    <t xml:space="preserve">Module</t>
  </si>
  <si>
    <t xml:space="preserve">Check</t>
  </si>
  <si>
    <t xml:space="preserve">Legal Reference</t>
  </si>
  <si>
    <t xml:space="preserve">Logic / Test</t>
  </si>
  <si>
    <t xml:space="preserve">Threshold</t>
  </si>
  <si>
    <t xml:space="preserve">Action</t>
  </si>
  <si>
    <t xml:space="preserve">Helper: Rule</t>
  </si>
  <si>
    <t xml:space="preserve">Applies</t>
  </si>
  <si>
    <t xml:space="preserve">Seq</t>
  </si>
  <si>
    <t xml:space="preserve">Total</t>
  </si>
  <si>
    <t xml:space="preserve">High</t>
  </si>
  <si>
    <t xml:space="preserve">Med</t>
  </si>
  <si>
    <t xml:space="preserve">Low</t>
  </si>
  <si>
    <t xml:space="preserve">Fail</t>
  </si>
  <si>
    <t xml:space="preserve">Pending</t>
  </si>
  <si>
    <t xml:space="preserve">Exposure (₹)</t>
  </si>
  <si>
    <t xml:space="preserve">A. Data Integrity</t>
  </si>
  <si>
    <t xml:space="preserve">B. ITC Eligibility (s.16)</t>
  </si>
  <si>
    <t xml:space="preserve">C. RCM</t>
  </si>
  <si>
    <t xml:space="preserve">D. Place of Supply</t>
  </si>
  <si>
    <t xml:space="preserve">E. Blocked Credits s.17(5)</t>
  </si>
  <si>
    <t xml:space="preserve">F. Reversals &amp; Apportionment</t>
  </si>
  <si>
    <t xml:space="preserve">G. Outward Supplies</t>
  </si>
  <si>
    <t xml:space="preserve">H. Credit &amp; Debit Notes</t>
  </si>
  <si>
    <t xml:space="preserve">I. Annual Report Linkages</t>
  </si>
  <si>
    <t xml:space="preserve">J. Interest, Fees, Payments</t>
  </si>
  <si>
    <t xml:space="preserve">K. Sec 73 / 74 / 74A Applicability</t>
  </si>
  <si>
    <t xml:space="preserve">L. Industry-Specific</t>
  </si>
  <si>
    <t xml:space="preserve">Exposure Basis</t>
  </si>
  <si>
    <t xml:space="preserve">Status</t>
  </si>
  <si>
    <t xml:space="preserve">Remarks</t>
  </si>
  <si>
    <t xml:space="preserve">A-01</t>
  </si>
  <si>
    <t xml:space="preserve">GSTIN master validation</t>
  </si>
  <si>
    <t xml:space="preserve">Rule 10A/21A</t>
  </si>
  <si>
    <t xml:space="preserve">GSTIN master (API), purchase register</t>
  </si>
  <si>
    <t xml:space="preserve">Check each vendor/customer GSTIN active on invoice date; flag cancelled (incl. retrospective), suspended, composition</t>
  </si>
  <si>
    <t xml:space="preserve">Any mismatch</t>
  </si>
  <si>
    <t xml:space="preserve">ITC on invoices of non-active/composition vendors</t>
  </si>
  <si>
    <t xml:space="preserve">Reverse ITC; obtain vendor clarification</t>
  </si>
  <si>
    <t xml:space="preserve">A-02</t>
  </si>
  <si>
    <t xml:space="preserve">Period &amp; return filing completeness</t>
  </si>
  <si>
    <t xml:space="preserve">s.37/39/44</t>
  </si>
  <si>
    <t xml:space="preserve">Return filing status</t>
  </si>
  <si>
    <t xml:space="preserve">All GSTR-1/3B/9/9C filed for all periods; compute delay days</t>
  </si>
  <si>
    <t xml:space="preserve">Any non-filing</t>
  </si>
  <si>
    <t xml:space="preserve">Late fee + interest</t>
  </si>
  <si>
    <t xml:space="preserve">File pending; pay late fee</t>
  </si>
  <si>
    <t xml:space="preserve">Sample: excess ITC Jul-25</t>
  </si>
  <si>
    <t xml:space="preserve">A-03</t>
  </si>
  <si>
    <t xml:space="preserve">Books vs return data completeness</t>
  </si>
  <si>
    <t xml:space="preserve">—</t>
  </si>
  <si>
    <t xml:space="preserve">TB, registers, GSTR-1/3B</t>
  </si>
  <si>
    <t xml:space="preserve">Sum of registers = GL control accounts; all GSTINs of PAN covered</t>
  </si>
  <si>
    <t xml:space="preserve">Diff &gt; ₹1,000</t>
  </si>
  <si>
    <t xml:space="preserve">N/A</t>
  </si>
  <si>
    <t xml:space="preserve">Reconcile registers to GL</t>
  </si>
  <si>
    <t xml:space="preserve">B-01</t>
  </si>
  <si>
    <t xml:space="preserve">ITC claimed vs GSTR-2B</t>
  </si>
  <si>
    <t xml:space="preserve">s.16(2)(aa), Rule 36(4)</t>
  </si>
  <si>
    <t xml:space="preserve">GSTR-3B Table 4, GSTR-2B</t>
  </si>
  <si>
    <t xml:space="preserve">Line-level match: GSTIN+Inv No+Date+Taxable+Tax; ITC in 3B &gt; 2B → excess</t>
  </si>
  <si>
    <t xml:space="preserve">Diff &gt; ₹1,000/month or &gt; 1%</t>
  </si>
  <si>
    <t xml:space="preserve">Excess ITC + 18% interest</t>
  </si>
  <si>
    <t xml:space="preserve">Reverse via DRC-03; respond to DRC-01C (Rule 88D)</t>
  </si>
  <si>
    <t xml:space="preserve">B-02</t>
  </si>
  <si>
    <t xml:space="preserve">ITC in books but not in 2B</t>
  </si>
  <si>
    <t xml:space="preserve">s.16(2)(aa)</t>
  </si>
  <si>
    <t xml:space="preserve">Purchase register, GSTR-2B</t>
  </si>
  <si>
    <t xml:space="preserve">Invoices in books absent in 2B/IMS</t>
  </si>
  <si>
    <t xml:space="preserve">Any</t>
  </si>
  <si>
    <t xml:space="preserve">Tax on unmatched invoices</t>
  </si>
  <si>
    <t xml:space="preserve">Vendor follow-up; defer claim</t>
  </si>
  <si>
    <t xml:space="preserve">B-03</t>
  </si>
  <si>
    <t xml:space="preserve">Receipt of goods/services</t>
  </si>
  <si>
    <t xml:space="preserve">s.16(2)(b)</t>
  </si>
  <si>
    <t xml:space="preserve">GRN, e-way bill, purchase register</t>
  </si>
  <si>
    <t xml:space="preserve">Invoice without GRN/EWB for goods; bill-to-ship-to documentation</t>
  </si>
  <si>
    <t xml:space="preserve">ITC on unsupported invoices</t>
  </si>
  <si>
    <t xml:space="preserve">Obtain proof of receipt</t>
  </si>
  <si>
    <t xml:space="preserve">B-04</t>
  </si>
  <si>
    <t xml:space="preserve">Supplier tax payment (Rule 37A)</t>
  </si>
  <si>
    <t xml:space="preserve">s.16(2)(c), Rule 37A; Suncraft Energy (Cal HC; SC dismissed SLP, Dec 2023)</t>
  </si>
  <si>
    <t xml:space="preserve">GSTR-2B, vendor 3B filing status</t>
  </si>
  <si>
    <t xml:space="preserve">Vendor 3B not filed by 30 Sept of next FY → reverse by 30 Nov. Defence: ITC cannot be denied to bona fide buyer solely for supplier default without first proceeding against supplier</t>
  </si>
  <si>
    <t xml:space="preserve">ITC of such vendors</t>
  </si>
  <si>
    <t xml:space="preserve">Reverse by 30 Nov; reclaim once vendor files</t>
  </si>
  <si>
    <t xml:space="preserve">B-05</t>
  </si>
  <si>
    <t xml:space="preserve">Payment within 180 days</t>
  </si>
  <si>
    <t xml:space="preserve">Rule 37, s.16(2) 2nd proviso</t>
  </si>
  <si>
    <t xml:space="preserve">Payables ageing, bank ledger</t>
  </si>
  <si>
    <t xml:space="preserve">Unpaid value &gt; 180 days from invoice date (excl. RCM, deemed supply)</t>
  </si>
  <si>
    <t xml:space="preserve">Proportionate ITC + interest</t>
  </si>
  <si>
    <t xml:space="preserve">Reverse in 3B; reclaim on payment</t>
  </si>
  <si>
    <t xml:space="preserve">B-06</t>
  </si>
  <si>
    <t xml:space="preserve">Depreciation on tax component</t>
  </si>
  <si>
    <t xml:space="preserve">s.16(3)</t>
  </si>
  <si>
    <t xml:space="preserve">Fixed asset register, ITC ledger</t>
  </si>
  <si>
    <t xml:space="preserve">Capital goods where ITC claimed AND GST capitalised in cost</t>
  </si>
  <si>
    <t xml:space="preserve">ITC on such assets</t>
  </si>
  <si>
    <t xml:space="preserve">Reverse ITC or de-capitalise</t>
  </si>
  <si>
    <t xml:space="preserve">B-07</t>
  </si>
  <si>
    <t xml:space="preserve">Time limit for ITC</t>
  </si>
  <si>
    <t xml:space="preserve">s.16(4), 16(5), 16(6)</t>
  </si>
  <si>
    <t xml:space="preserve">3B claim period, invoice/DN date</t>
  </si>
  <si>
    <t xml:space="preserve">Claimed after earlier of 30 Nov next FY / annual return date; DN date used for DN</t>
  </si>
  <si>
    <t xml:space="preserve">Time-barred ITC</t>
  </si>
  <si>
    <t xml:space="preserve">Reverse; check 16(5)/(6) relaxation</t>
  </si>
  <si>
    <t xml:space="preserve">B-08</t>
  </si>
  <si>
    <t xml:space="preserve">Duplicate ITC</t>
  </si>
  <si>
    <t xml:space="preserve">s.16</t>
  </si>
  <si>
    <t xml:space="preserve">Purchase register, 3B</t>
  </si>
  <si>
    <t xml:space="preserve">Same GSTIN+Inv No claimed twice / across GSTINs / periods</t>
  </si>
  <si>
    <t xml:space="preserve">Reverse</t>
  </si>
  <si>
    <t xml:space="preserve">B-09</t>
  </si>
  <si>
    <t xml:space="preserve">Import IGST</t>
  </si>
  <si>
    <t xml:space="preserve">s.16, Rule 36(1)(d)</t>
  </si>
  <si>
    <t xml:space="preserve">ICEGATE BoE, 2B, 3B 4(A)(1)</t>
  </si>
  <si>
    <t xml:space="preserve">BoE IGST in books = 2B = 3B</t>
  </si>
  <si>
    <t xml:space="preserve">Excess ITC</t>
  </si>
  <si>
    <t xml:space="preserve">Reconcile; amend</t>
  </si>
  <si>
    <t xml:space="preserve">B-10</t>
  </si>
  <si>
    <t xml:space="preserve">ITC on invoices from cancelled/composition vendors</t>
  </si>
  <si>
    <t xml:space="preserve">s.16, s.10(4)</t>
  </si>
  <si>
    <t xml:space="preserve">GSTIN master, 2B</t>
  </si>
  <si>
    <t xml:space="preserve">Tax charged by composition dealer or post-cancellation invoice</t>
  </si>
  <si>
    <t xml:space="preserve">Full ITC</t>
  </si>
  <si>
    <t xml:space="preserve">B-11</t>
  </si>
  <si>
    <t xml:space="preserve">Document validity</t>
  </si>
  <si>
    <t xml:space="preserve">s.16(2)(a), Rule 36</t>
  </si>
  <si>
    <t xml:space="preserve">Invoices</t>
  </si>
  <si>
    <t xml:space="preserve">Mandatory particulars present (Rule 46): GSTIN, HSN, POS, tax break-up; e-invoice IRN where supplier mandated</t>
  </si>
  <si>
    <t xml:space="preserve">ITC on defective docs</t>
  </si>
  <si>
    <t xml:space="preserve">Obtain corrected invoice</t>
  </si>
  <si>
    <t xml:space="preserve">C-01</t>
  </si>
  <si>
    <t xml:space="preserve">RCM liability identification</t>
  </si>
  <si>
    <t xml:space="preserve">s.9(3), 9(4); Notfn 13/2017-CT(R)</t>
  </si>
  <si>
    <t xml:space="preserve">GL expense heads, vendor master</t>
  </si>
  <si>
    <t xml:space="preserve">Map GTA, legal, security, director sitting fees, sponsorship, renting by URP, import of services; compute liability</t>
  </si>
  <si>
    <t xml:space="preserve">Any unpaid</t>
  </si>
  <si>
    <t xml:space="preserve">RCM tax + interest</t>
  </si>
  <si>
    <t xml:space="preserve">Pay via cash ledger; claim ITC</t>
  </si>
  <si>
    <t xml:space="preserve">C-02</t>
  </si>
  <si>
    <t xml:space="preserve">RCM ITC after payment</t>
  </si>
  <si>
    <t xml:space="preserve">s.16, Rule 36(1)(b)</t>
  </si>
  <si>
    <t xml:space="preserve">3B Table 3.1(d) &amp; 4(A)(3)</t>
  </si>
  <si>
    <t xml:space="preserve">ITC on RCM ≤ RCM tax paid in cash in same/earlier period</t>
  </si>
  <si>
    <t xml:space="preserve">ITC &gt; paid</t>
  </si>
  <si>
    <t xml:space="preserve">C-03</t>
  </si>
  <si>
    <t xml:space="preserve">RCM self-invoice</t>
  </si>
  <si>
    <t xml:space="preserve">s.31(3)(f), Rule 47A</t>
  </si>
  <si>
    <t xml:space="preserve">Self-invoice register</t>
  </si>
  <si>
    <t xml:space="preserve">Self-invoice issued within 30 days of receipt of supply</t>
  </si>
  <si>
    <t xml:space="preserve">Delay</t>
  </si>
  <si>
    <t xml:space="preserve">Procedural</t>
  </si>
  <si>
    <t xml:space="preserve">Issue self-invoices</t>
  </si>
  <si>
    <t xml:space="preserve">C-04</t>
  </si>
  <si>
    <t xml:space="preserve">Import of services</t>
  </si>
  <si>
    <t xml:space="preserve">s.5(3) IGST, s.13</t>
  </si>
  <si>
    <t xml:space="preserve">Foreign remittance (Form 15CA/CB), GL</t>
  </si>
  <si>
    <t xml:space="preserve">All foreign service payments offered to RCM (IGST). From 30.03.2026 commission/agency paid to foreign intermediaries also under RCM (POS = recipient in India)</t>
  </si>
  <si>
    <t xml:space="preserve">Any gap</t>
  </si>
  <si>
    <t xml:space="preserve">IGST + interest</t>
  </si>
  <si>
    <t xml:space="preserve">Pay RCM</t>
  </si>
  <si>
    <t xml:space="preserve">C-05</t>
  </si>
  <si>
    <t xml:space="preserve">Metal scrap from unregistered &amp; TDS on scrap</t>
  </si>
  <si>
    <t xml:space="preserve">Notfn 6/2024-CT(R) (RCM, w.e.f. 10.10.2024); Notfn 25/2024-CT (s.51 TDS 2%)</t>
  </si>
  <si>
    <t xml:space="preserve">Purchase register (Ch. 72–81)</t>
  </si>
  <si>
    <t xml:space="preserve">Metal scrap bought from URD → RCM + self-invoice; registered scrap purchases → TDS 2% deducted, GSTR-7 filed</t>
  </si>
  <si>
    <t xml:space="preserve">RCM / TDS + interest</t>
  </si>
  <si>
    <t xml:space="preserve">Pay / file GSTR-7</t>
  </si>
  <si>
    <t xml:space="preserve">D-01</t>
  </si>
  <si>
    <t xml:space="preserve">Tax head vs state codes</t>
  </si>
  <si>
    <t xml:space="preserve">IGST s.7, 8</t>
  </si>
  <si>
    <t xml:space="preserve">Invoice data</t>
  </si>
  <si>
    <t xml:space="preserve">Supplier state ≠ POS → IGST; same → CGST+SGST; mismatch flagged</t>
  </si>
  <si>
    <t xml:space="preserve">Wrong head: tax may be re-demanded</t>
  </si>
  <si>
    <t xml:space="preserve">s.77 / Rule 89 refund route; correct invoices</t>
  </si>
  <si>
    <t xml:space="preserve">D-02</t>
  </si>
  <si>
    <t xml:space="preserve">Hotel/immovable property services</t>
  </si>
  <si>
    <t xml:space="preserve">IGST s.12(3)</t>
  </si>
  <si>
    <t xml:space="preserve">Purchase register (hotel, event venue, repairs)</t>
  </si>
  <si>
    <t xml:space="preserve">POS = location of property; out-of-state CGST/SGST → ITC not available to recipient</t>
  </si>
  <si>
    <t xml:space="preserve">ITC on such invoices</t>
  </si>
  <si>
    <t xml:space="preserve">Reverse; register in that state if recurring</t>
  </si>
  <si>
    <t xml:space="preserve">D-03</t>
  </si>
  <si>
    <t xml:space="preserve">Restaurant/catering, training, events</t>
  </si>
  <si>
    <t xml:space="preserve">IGST s.12(4)(5)(7)</t>
  </si>
  <si>
    <t xml:space="preserve">Purchase register</t>
  </si>
  <si>
    <t xml:space="preserve">Services performed in other state with other state CGST/SGST</t>
  </si>
  <si>
    <t xml:space="preserve">Ineligible ITC</t>
  </si>
  <si>
    <t xml:space="preserve">D-04</t>
  </si>
  <si>
    <t xml:space="preserve">Goods transport / passenger transport</t>
  </si>
  <si>
    <t xml:space="preserve">IGST s.12(8)(9)</t>
  </si>
  <si>
    <t xml:space="preserve">GTA/air ticket invoices</t>
  </si>
  <si>
    <t xml:space="preserve">POS per recipient location (registered) / boarding point; head consistency</t>
  </si>
  <si>
    <t xml:space="preserve">Wrong head</t>
  </si>
  <si>
    <t xml:space="preserve">Correct</t>
  </si>
  <si>
    <t xml:space="preserve">D-05</t>
  </si>
  <si>
    <t xml:space="preserve">Bill-to-ship-to goods</t>
  </si>
  <si>
    <t xml:space="preserve">IGST s.10(1)(b)</t>
  </si>
  <si>
    <t xml:space="preserve">Sales register, EWB</t>
  </si>
  <si>
    <t xml:space="preserve">POS = principal place of 'bill-to' party; verify tax head</t>
  </si>
  <si>
    <t xml:space="preserve">D-06</t>
  </si>
  <si>
    <t xml:space="preserve">B2C recipient address</t>
  </si>
  <si>
    <t xml:space="preserve">IGST s.10(1)(ca)</t>
  </si>
  <si>
    <t xml:space="preserve">Sales register (B2C)</t>
  </si>
  <si>
    <t xml:space="preserve">B2C inter-state: recipient state recorded; else POS = supplier location</t>
  </si>
  <si>
    <t xml:space="preserve">Missing</t>
  </si>
  <si>
    <t xml:space="preserve">Wrong POS</t>
  </si>
  <si>
    <t xml:space="preserve">Capture address</t>
  </si>
  <si>
    <t xml:space="preserve">D-07</t>
  </si>
  <si>
    <t xml:space="preserve">Export of services conditions</t>
  </si>
  <si>
    <t xml:space="preserve">IGST s.2(6), s.13</t>
  </si>
  <si>
    <t xml:space="preserve">Export invoices, FIRC/BRC</t>
  </si>
  <si>
    <t xml:space="preserve">s.2(6) conditions incl. FX realisation and not merely establishments of distinct person. Intermediary: up to 29.03.2026 POS = supplier location (s.13(8)(b)); from 30.03.2026 clause omitted (FA 2026 s.157, prospective) → exportable if s.2(6) met</t>
  </si>
  <si>
    <t xml:space="preserve">Any failing</t>
  </si>
  <si>
    <t xml:space="preserve">IGST on non-qualifying export</t>
  </si>
  <si>
    <t xml:space="preserve">Pay tax / re-examine</t>
  </si>
  <si>
    <t xml:space="preserve">D-08</t>
  </si>
  <si>
    <t xml:space="preserve">SEZ supplies</t>
  </si>
  <si>
    <t xml:space="preserve">IGST s.16</t>
  </si>
  <si>
    <t xml:space="preserve">Sales register, LUT</t>
  </si>
  <si>
    <t xml:space="preserve">SEZ supplies as zero-rated under LUT or IGST; endorsement proof</t>
  </si>
  <si>
    <t xml:space="preserve">Tax on non-compliant zero-rating</t>
  </si>
  <si>
    <t xml:space="preserve">Obtain docs</t>
  </si>
  <si>
    <t xml:space="preserve">E-01</t>
  </si>
  <si>
    <t xml:space="preserve">Motor vehicles ≤13 seats</t>
  </si>
  <si>
    <t xml:space="preserve">s.17(5)(a),(ab)</t>
  </si>
  <si>
    <t xml:space="preserve">GL: vehicles, vehicle repair, insurance, FAR</t>
  </si>
  <si>
    <t xml:space="preserve">ITC on cars and their repairs/insurance unless used for further supply, passenger transport, driving training</t>
  </si>
  <si>
    <t xml:space="preserve">ITC claimed</t>
  </si>
  <si>
    <t xml:space="preserve">E-02</t>
  </si>
  <si>
    <t xml:space="preserve">Vessels &amp; aircraft</t>
  </si>
  <si>
    <t xml:space="preserve">s.17(5)(aa),(ab)</t>
  </si>
  <si>
    <t xml:space="preserve">FAR, GL</t>
  </si>
  <si>
    <t xml:space="preserve">ITC except permitted uses</t>
  </si>
  <si>
    <t xml:space="preserve">E-03</t>
  </si>
  <si>
    <t xml:space="preserve">Food, beverages, outdoor catering</t>
  </si>
  <si>
    <t xml:space="preserve">s.17(5)(b)(i)</t>
  </si>
  <si>
    <t xml:space="preserve">GL: staff welfare, canteen, refreshment, BP</t>
  </si>
  <si>
    <t xml:space="preserve">ITC unless obligatory under law or same line of outward supply</t>
  </si>
  <si>
    <t xml:space="preserve">E-04</t>
  </si>
  <si>
    <t xml:space="preserve">Beauty, health, cosmetic surgery</t>
  </si>
  <si>
    <t xml:space="preserve">GL</t>
  </si>
  <si>
    <t xml:space="preserve">Blocked unless same line of outward supply. Note: beauty/wellness now 5% without ITC w.e.f. 22.09.2025 (Notfn 15/2025-CT(R))</t>
  </si>
  <si>
    <t xml:space="preserve">E-05</t>
  </si>
  <si>
    <t xml:space="preserve">Life &amp; health insurance</t>
  </si>
  <si>
    <t xml:space="preserve">GL: insurance</t>
  </si>
  <si>
    <t xml:space="preserve">Individual life &amp; health policies exempt w.e.f. 22.09.2025 (no ITC issue). Group / employer policies: ITC blocked unless obligatory under law (s.17(5)(b) proviso)</t>
  </si>
  <si>
    <t xml:space="preserve">E-06</t>
  </si>
  <si>
    <t xml:space="preserve">Club / fitness membership</t>
  </si>
  <si>
    <t xml:space="preserve">s.17(5)(b)(ii)</t>
  </si>
  <si>
    <t xml:space="preserve">GL: membership, subscription</t>
  </si>
  <si>
    <t xml:space="preserve">Any ITC</t>
  </si>
  <si>
    <t xml:space="preserve">E-07</t>
  </si>
  <si>
    <t xml:space="preserve">Rent-a-cab</t>
  </si>
  <si>
    <t xml:space="preserve">GL: travel, conveyance</t>
  </si>
  <si>
    <t xml:space="preserve">Cab hire ITC unless obligatory / same outward supply</t>
  </si>
  <si>
    <t xml:space="preserve">E-08</t>
  </si>
  <si>
    <t xml:space="preserve">Employee travel benefits (LTC/vacation)</t>
  </si>
  <si>
    <t xml:space="preserve">s.17(5)(b)(iii)</t>
  </si>
  <si>
    <t xml:space="preserve">GL: LTC, staff tour</t>
  </si>
  <si>
    <t xml:space="preserve">E-09</t>
  </si>
  <si>
    <t xml:space="preserve">Works contract – immovable property</t>
  </si>
  <si>
    <t xml:space="preserve">s.17(5)(c)</t>
  </si>
  <si>
    <t xml:space="preserve">FAR additions, CWIP, repairs GL</t>
  </si>
  <si>
    <t xml:space="preserve">ITC on works contract services for construction of immovable property (other than 'plant and machinery') blocked, except where it is input service for further supply of works contract</t>
  </si>
  <si>
    <t xml:space="preserve">E-10</t>
  </si>
  <si>
    <t xml:space="preserve">Construction on own account</t>
  </si>
  <si>
    <t xml:space="preserve">s.17(5)(d); Expl. 2 inserted by FA 2025 (retro 01.07.2017)</t>
  </si>
  <si>
    <t xml:space="preserve">FAR, CWIP</t>
  </si>
  <si>
    <t xml:space="preserve">'plant or machinery' substituted by 'plant and machinery' retrospectively from 01.07.2017 – overrides functionality test of Safari Retreats (SC, 03.10.2024). Flag building/civil ITC even where property is let out</t>
  </si>
  <si>
    <t xml:space="preserve">E-11</t>
  </si>
  <si>
    <t xml:space="preserve">Composition tax / NRTP</t>
  </si>
  <si>
    <t xml:space="preserve">s.17(5)(e),(f)</t>
  </si>
  <si>
    <t xml:space="preserve">ITC on goods/services where tax paid under composition or by NRTP (except imports)</t>
  </si>
  <si>
    <t xml:space="preserve">E-12</t>
  </si>
  <si>
    <t xml:space="preserve">CSR expenditure</t>
  </si>
  <si>
    <t xml:space="preserve">s.17(5)(fa)</t>
  </si>
  <si>
    <t xml:space="preserve">Annual report CSR note, GL</t>
  </si>
  <si>
    <t xml:space="preserve">ITC on CSR spend (from 1.10.2023)</t>
  </si>
  <si>
    <t xml:space="preserve">E-13</t>
  </si>
  <si>
    <t xml:space="preserve">Personal consumption</t>
  </si>
  <si>
    <t xml:space="preserve">s.17(5)(g)</t>
  </si>
  <si>
    <t xml:space="preserve">GL, expense vouchers</t>
  </si>
  <si>
    <t xml:space="preserve">Director/employee personal expenses</t>
  </si>
  <si>
    <t xml:space="preserve">E-14</t>
  </si>
  <si>
    <t xml:space="preserve">Lost/stolen/destroyed/written off/gifts/samples</t>
  </si>
  <si>
    <t xml:space="preserve">s.17(5)(h)</t>
  </si>
  <si>
    <t xml:space="preserve">Inventory note, stock write-off, BP/sales promotion GL</t>
  </si>
  <si>
    <t xml:space="preserve">ITC on inputs so disposed; free samples/gifts</t>
  </si>
  <si>
    <t xml:space="preserve">ITC on such goods</t>
  </si>
  <si>
    <t xml:space="preserve">Reverse (Circular 92/2019)</t>
  </si>
  <si>
    <t xml:space="preserve">E-15</t>
  </si>
  <si>
    <t xml:space="preserve">Tax paid under s.74/74A</t>
  </si>
  <si>
    <t xml:space="preserve">s.17(5)(i)</t>
  </si>
  <si>
    <t xml:space="preserve">DRC-03/order data</t>
  </si>
  <si>
    <t xml:space="preserve">ITC claimed on tax paid in fraud proceedings</t>
  </si>
  <si>
    <t xml:space="preserve">F-01</t>
  </si>
  <si>
    <t xml:space="preserve">Common credit – exempt turnover</t>
  </si>
  <si>
    <t xml:space="preserve">s.17(2), Rule 42/43</t>
  </si>
  <si>
    <t xml:space="preserve">Turnover split, ITC ledger</t>
  </si>
  <si>
    <t xml:space="preserve">Compute D1/D2/C3; exempt T/O incl. land/building sale, securities @1% of sale value, interest (non-banks)</t>
  </si>
  <si>
    <t xml:space="preserve">Short reversal + interest</t>
  </si>
  <si>
    <t xml:space="preserve">Reverse; annual true-up by Sept return</t>
  </si>
  <si>
    <t xml:space="preserve">F-02</t>
  </si>
  <si>
    <t xml:space="preserve">Non-business use</t>
  </si>
  <si>
    <t xml:space="preserve">s.17(1)</t>
  </si>
  <si>
    <t xml:space="preserve">Common ITC used for non-business purposes (D1 5%-type computation)</t>
  </si>
  <si>
    <t xml:space="preserve">Short reversal</t>
  </si>
  <si>
    <t xml:space="preserve">F-03</t>
  </si>
  <si>
    <t xml:space="preserve">Banks/NBFC 50% option</t>
  </si>
  <si>
    <t xml:space="preserve">s.17(4), Rule 38</t>
  </si>
  <si>
    <t xml:space="preserve">ITC ledger</t>
  </si>
  <si>
    <t xml:space="preserve">Option applied consistently for full FY; exclusions for inter-GSTIN supplies</t>
  </si>
  <si>
    <t xml:space="preserve">Inconsistency</t>
  </si>
  <si>
    <t xml:space="preserve">F-04</t>
  </si>
  <si>
    <t xml:space="preserve">Capital goods sold within 5 yrs</t>
  </si>
  <si>
    <t xml:space="preserve">s.18(6), Rule 44(6)</t>
  </si>
  <si>
    <t xml:space="preserve">FAR disposals</t>
  </si>
  <si>
    <t xml:space="preserve">Pay higher of ITC reduced 5%/quarter or tax on transaction value</t>
  </si>
  <si>
    <t xml:space="preserve">Short payment</t>
  </si>
  <si>
    <t xml:space="preserve">Pay difference</t>
  </si>
  <si>
    <t xml:space="preserve">F-05</t>
  </si>
  <si>
    <t xml:space="preserve">Registration cancellation / composition switch</t>
  </si>
  <si>
    <t xml:space="preserve">s.18(4), s.29(5), Rule 44</t>
  </si>
  <si>
    <t xml:space="preserve">Stock, FAR</t>
  </si>
  <si>
    <t xml:space="preserve">ITC on stock &amp; capital goods reversed</t>
  </si>
  <si>
    <t xml:space="preserve">ITC on stock</t>
  </si>
  <si>
    <t xml:space="preserve">ITC-03 / GSTR-10</t>
  </si>
  <si>
    <t xml:space="preserve">F-06</t>
  </si>
  <si>
    <t xml:space="preserve">Rule 86B cash payment</t>
  </si>
  <si>
    <t xml:space="preserve">Rule 86B</t>
  </si>
  <si>
    <t xml:space="preserve">Electronic ledgers, turnover</t>
  </si>
  <si>
    <t xml:space="preserve">Taxable T/O &gt; ₹50 lakh/month: min 1% cash unless exemption</t>
  </si>
  <si>
    <t xml:space="preserve">Breach</t>
  </si>
  <si>
    <t xml:space="preserve">Short cash payment</t>
  </si>
  <si>
    <t xml:space="preserve">Pay in cash</t>
  </si>
  <si>
    <t xml:space="preserve">F-07</t>
  </si>
  <si>
    <t xml:space="preserve">ISD distribution</t>
  </si>
  <si>
    <t xml:space="preserve">s.2(61), s.20, Rule 39</t>
  </si>
  <si>
    <t xml:space="preserve">GSTR-6, cross-charge invoices</t>
  </si>
  <si>
    <t xml:space="preserve">Common third-party input services distributed via ISD (mandatory from 1.4.2025); pro-rata by turnover</t>
  </si>
  <si>
    <t xml:space="preserve">Excess ITC at units</t>
  </si>
  <si>
    <t xml:space="preserve">Distribute via ISD</t>
  </si>
  <si>
    <t xml:space="preserve">G-01</t>
  </si>
  <si>
    <t xml:space="preserve">Turnover reconciliation</t>
  </si>
  <si>
    <t xml:space="preserve">s.35, s.44</t>
  </si>
  <si>
    <t xml:space="preserve">Revenue from ops, GSTR-1, 3B, 9, 9C</t>
  </si>
  <si>
    <t xml:space="preserve">Books = GSTR-1 = 3B = GSTR-9 (Table 4/5)</t>
  </si>
  <si>
    <t xml:space="preserve">Diff &gt; ₹10,000 or 0.1%</t>
  </si>
  <si>
    <t xml:space="preserve">Tax on shortfall</t>
  </si>
  <si>
    <t xml:space="preserve">Pay via DRC-03; reply DRC-01B (Rule 88C)</t>
  </si>
  <si>
    <t xml:space="preserve">G-02</t>
  </si>
  <si>
    <t xml:space="preserve">GSTR-1 vs 3B liability</t>
  </si>
  <si>
    <t xml:space="preserve">Rule 88C</t>
  </si>
  <si>
    <t xml:space="preserve">GSTR-1, 3B</t>
  </si>
  <si>
    <t xml:space="preserve">Month-wise liability; 1 &gt; 3B</t>
  </si>
  <si>
    <t xml:space="preserve">Beyond threshold</t>
  </si>
  <si>
    <t xml:space="preserve">Short payment + interest</t>
  </si>
  <si>
    <t xml:space="preserve">Pay; reply DRC-01B</t>
  </si>
  <si>
    <t xml:space="preserve">G-03</t>
  </si>
  <si>
    <t xml:space="preserve">e-invoice vs GSTR-1</t>
  </si>
  <si>
    <t xml:space="preserve">Rule 48(4)</t>
  </si>
  <si>
    <t xml:space="preserve">IRN data, GSTR-1</t>
  </si>
  <si>
    <t xml:space="preserve">All B2B invoices above threshold have IRN; IRN value = GSTR-1</t>
  </si>
  <si>
    <t xml:space="preserve">Invalid invoices / ITC denial to buyers</t>
  </si>
  <si>
    <t xml:space="preserve">Generate IRN / correct</t>
  </si>
  <si>
    <t xml:space="preserve">G-04</t>
  </si>
  <si>
    <t xml:space="preserve">e-invoice applicability &amp; 30-day limit</t>
  </si>
  <si>
    <t xml:space="preserve">Notfn 13/2020-CT; 10/2023</t>
  </si>
  <si>
    <t xml:space="preserve">AATO, invoice dates vs IRN dates</t>
  </si>
  <si>
    <t xml:space="preserve">AATO &gt; ₹5 cr → mandatory; AATO ≥ ₹10 cr → report within 30 days</t>
  </si>
  <si>
    <t xml:space="preserve">Penalty s.122</t>
  </si>
  <si>
    <t xml:space="preserve">Comply</t>
  </si>
  <si>
    <t xml:space="preserve">G-05</t>
  </si>
  <si>
    <t xml:space="preserve">E-way bill vs sales</t>
  </si>
  <si>
    <t xml:space="preserve">Rule 138</t>
  </si>
  <si>
    <t xml:space="preserve">EWB portal data, GSTR-1</t>
  </si>
  <si>
    <t xml:space="preserve">EWB generated without invoice in GSTR-1 → suppressed sales</t>
  </si>
  <si>
    <t xml:space="preserve">Tax on unreported</t>
  </si>
  <si>
    <t xml:space="preserve">Explain/pay</t>
  </si>
  <si>
    <t xml:space="preserve">G-06</t>
  </si>
  <si>
    <t xml:space="preserve">Other income scan</t>
  </si>
  <si>
    <t xml:space="preserve">s.7, s.15</t>
  </si>
  <si>
    <t xml:space="preserve">P&amp;L other income, GL</t>
  </si>
  <si>
    <t xml:space="preserve">Taxability of scrap sale, asset sale, rent, late-payment interest (s.15(2)(d)), notice pay, canteen recovery, commission, mgmt fees. LD/penalties for breach not taxable (Circ 178/10/2022); RBI-mandated penal charges of banks/NBFCs not taxable (Circ 245/02/2025)</t>
  </si>
  <si>
    <t xml:space="preserve">Any untaxed</t>
  </si>
  <si>
    <t xml:space="preserve">Tax + interest</t>
  </si>
  <si>
    <t xml:space="preserve">Pay tax</t>
  </si>
  <si>
    <t xml:space="preserve">G-07</t>
  </si>
  <si>
    <t xml:space="preserve">Schedule I deemed supplies</t>
  </si>
  <si>
    <t xml:space="preserve">Sch. I, Rule 28</t>
  </si>
  <si>
    <t xml:space="preserve">Stock transfers, related party note</t>
  </si>
  <si>
    <t xml:space="preserve">Stock transfer to other GSTIN; RP supplies w/o consideration; gifts to employee &gt; ₹50k</t>
  </si>
  <si>
    <t xml:space="preserve">Tax at Rule 28 value</t>
  </si>
  <si>
    <t xml:space="preserve">G-08</t>
  </si>
  <si>
    <t xml:space="preserve">Related party valuation</t>
  </si>
  <si>
    <t xml:space="preserve">s.15(4), Rule 28</t>
  </si>
  <si>
    <t xml:space="preserve">Ind AS 24/AS 18 note</t>
  </si>
  <si>
    <t xml:space="preserve">RP transaction value vs open market; full ITC buyer exception (2nd proviso Rule 28)</t>
  </si>
  <si>
    <t xml:space="preserve">Deviation</t>
  </si>
  <si>
    <t xml:space="preserve">Differential tax</t>
  </si>
  <si>
    <t xml:space="preserve">Re-value</t>
  </si>
  <si>
    <t xml:space="preserve">G-09</t>
  </si>
  <si>
    <t xml:space="preserve">Advances received</t>
  </si>
  <si>
    <t xml:space="preserve">s.12, s.13</t>
  </si>
  <si>
    <t xml:space="preserve">Customer advances note, GL</t>
  </si>
  <si>
    <t xml:space="preserve">Tax on advances for services; not for goods (Notfn 66/2017)</t>
  </si>
  <si>
    <t xml:space="preserve">Pay; adjust on invoice</t>
  </si>
  <si>
    <t xml:space="preserve">G-10</t>
  </si>
  <si>
    <t xml:space="preserve">Rate &amp; HSN validation</t>
  </si>
  <si>
    <t xml:space="preserve">Rate notfns; s.14</t>
  </si>
  <si>
    <t xml:space="preserve">GSTR-1 Table 12, sales register</t>
  </si>
  <si>
    <t xml:space="preserve">HSN-rate master check; rate change at 22.9.2025 (GST 2.0) applied per s.14 time-of-supply</t>
  </si>
  <si>
    <t xml:space="preserve">Pay / credit note</t>
  </si>
  <si>
    <t xml:space="preserve">G-11</t>
  </si>
  <si>
    <t xml:space="preserve">Exempt/nil/non-GST classification</t>
  </si>
  <si>
    <t xml:space="preserve">s.11, exemption notfns</t>
  </si>
  <si>
    <t xml:space="preserve">GSTR-1 Table 8, 3B 3.1(c)(e)</t>
  </si>
  <si>
    <t xml:space="preserve">Exemption entry validity; condition compliance</t>
  </si>
  <si>
    <t xml:space="preserve">Tax on wrongly exempted</t>
  </si>
  <si>
    <t xml:space="preserve">Pay</t>
  </si>
  <si>
    <t xml:space="preserve">G-12</t>
  </si>
  <si>
    <t xml:space="preserve">Invoice series gaps</t>
  </si>
  <si>
    <t xml:space="preserve">Rule 46(b)</t>
  </si>
  <si>
    <t xml:space="preserve">GSTR-1 Table 13, sales register</t>
  </si>
  <si>
    <t xml:space="preserve">Missing/cancelled invoice numbers</t>
  </si>
  <si>
    <t xml:space="preserve">Possible suppression</t>
  </si>
  <si>
    <t xml:space="preserve">Explain</t>
  </si>
  <si>
    <t xml:space="preserve">G-13</t>
  </si>
  <si>
    <t xml:space="preserve">Exports – LUT &amp; realisation</t>
  </si>
  <si>
    <t xml:space="preserve">s.16 IGST, Rule 96A</t>
  </si>
  <si>
    <t xml:space="preserve">LUT, shipping bills, BRC/FIRC</t>
  </si>
  <si>
    <t xml:space="preserve">Valid LUT; realisation within time; else pay IGST</t>
  </si>
  <si>
    <t xml:space="preserve">Pay / realise</t>
  </si>
  <si>
    <t xml:space="preserve">G-14</t>
  </si>
  <si>
    <t xml:space="preserve">TDS/TCS credits vs turnover</t>
  </si>
  <si>
    <t xml:space="preserve">s.51, s.52</t>
  </si>
  <si>
    <t xml:space="preserve">GSTR-7/8, 26AS/AIS</t>
  </si>
  <si>
    <t xml:space="preserve">Turnover implied by TDS/TCS ≤ declared turnover</t>
  </si>
  <si>
    <t xml:space="preserve">Tax on gap</t>
  </si>
  <si>
    <t xml:space="preserve">Reconcile</t>
  </si>
  <si>
    <t xml:space="preserve">G-15</t>
  </si>
  <si>
    <t xml:space="preserve">Amendment time limit</t>
  </si>
  <si>
    <t xml:space="preserve">s.37(3), s.39(9)</t>
  </si>
  <si>
    <t xml:space="preserve">GSTR-1/1A amendments</t>
  </si>
  <si>
    <t xml:space="preserve">Amendments made within 30 Nov next FY</t>
  </si>
  <si>
    <t xml:space="preserve">Late</t>
  </si>
  <si>
    <t xml:space="preserve">H-01</t>
  </si>
  <si>
    <t xml:space="preserve">CN time limit</t>
  </si>
  <si>
    <t xml:space="preserve">s.34(2)</t>
  </si>
  <si>
    <t xml:space="preserve">CN register</t>
  </si>
  <si>
    <t xml:space="preserve">CN issued / declared by earlier of 30 Nov next FY or annual return</t>
  </si>
  <si>
    <t xml:space="preserve">Tax reduction disallowed</t>
  </si>
  <si>
    <t xml:space="preserve">Reverse reduction</t>
  </si>
  <si>
    <t xml:space="preserve">H-02</t>
  </si>
  <si>
    <t xml:space="preserve">CN linkage to invoice</t>
  </si>
  <si>
    <t xml:space="preserve">s.34(1), Circ 212/2024</t>
  </si>
  <si>
    <t xml:space="preserve">CN register, GSTR-1 CDNR</t>
  </si>
  <si>
    <t xml:space="preserve">Each CN linked to original invoice(s)</t>
  </si>
  <si>
    <t xml:space="preserve">Link</t>
  </si>
  <si>
    <t xml:space="preserve">H-03</t>
  </si>
  <si>
    <t xml:space="preserve">Recipient ITC reversal for tax reduction</t>
  </si>
  <si>
    <t xml:space="preserve">s.34(2) proviso subst. by FA 2025 w.e.f. 01.10.2025 (Notfn 16/2025-CT); IMS; Circ 212/2024 (earlier CNs)</t>
  </si>
  <si>
    <t xml:space="preserve">IMS/CN acceptance, recipient certificate</t>
  </si>
  <si>
    <t xml:space="preserve">CNs from 01.10.2025: output reduction only if registered recipient reversed attributable ITC (IMS accept); IMS-rejected CN adds back to supplier liability. Earlier CNs: incidence-not-passed test / CA certificate route (Circ 212/2024)</t>
  </si>
  <si>
    <t xml:space="preserve">Unproved</t>
  </si>
  <si>
    <t xml:space="preserve">Obtain certificate</t>
  </si>
  <si>
    <t xml:space="preserve">H-04</t>
  </si>
  <si>
    <t xml:space="preserve">Post-sale discounts</t>
  </si>
  <si>
    <t xml:space="preserve">s.15(3)(b); Circ 92/2019, 251/08/2025; FA 2026 substitution – awaiting notification</t>
  </si>
  <si>
    <t xml:space="preserve">Discount agreements, CN register</t>
  </si>
  <si>
    <t xml:space="preserve">Until FA 2026 amendment notified: pre-agreement + invoice linkage + recipient ITC reversal. Financial/commercial CN: no output reduction, and recipient need NOT reverse ITC (Circ 251/2025). Discount is dealer consideration only if tied to end-customer agreement; promotion taxable only if agreed service</t>
  </si>
  <si>
    <t xml:space="preserve">Non-compliant</t>
  </si>
  <si>
    <t xml:space="preserve">Re-issue as financial CN</t>
  </si>
  <si>
    <t xml:space="preserve">H-05</t>
  </si>
  <si>
    <t xml:space="preserve">Books CN vs GST CN</t>
  </si>
  <si>
    <t xml:space="preserve">GL, GSTR-1 CDNR</t>
  </si>
  <si>
    <t xml:space="preserve">Financial CNs (no GST) vs GST CNs – explain difference</t>
  </si>
  <si>
    <t xml:space="preserve">Diff</t>
  </si>
  <si>
    <t xml:space="preserve">H-06</t>
  </si>
  <si>
    <t xml:space="preserve">Purchase-side CNs</t>
  </si>
  <si>
    <t xml:space="preserve">s.16, s.34</t>
  </si>
  <si>
    <t xml:space="preserve">GSTR-2B/IMS, purchase register</t>
  </si>
  <si>
    <t xml:space="preserve">CNs received in 2B reversed in 3B; IMS rejected/pending CNs tracked</t>
  </si>
  <si>
    <t xml:space="preserve">Reverse in 3B</t>
  </si>
  <si>
    <t xml:space="preserve">H-07</t>
  </si>
  <si>
    <t xml:space="preserve">Debit notes – ITC time limit</t>
  </si>
  <si>
    <t xml:space="preserve">s.16(4) as amended by FA 2020 w.e.f. 01.01.2021</t>
  </si>
  <si>
    <t xml:space="preserve">DN register</t>
  </si>
  <si>
    <t xml:space="preserve">Time limit reckoned from DN date, not original invoice</t>
  </si>
  <si>
    <t xml:space="preserve">Mis-applied</t>
  </si>
  <si>
    <t xml:space="preserve">H-08</t>
  </si>
  <si>
    <t xml:space="preserve">Unusual CN pattern</t>
  </si>
  <si>
    <t xml:space="preserve">High CN % to same party / year-end CNs reversing sales</t>
  </si>
  <si>
    <t xml:space="preserve">&gt; 10% of party sales</t>
  </si>
  <si>
    <t xml:space="preserve">Tax on reversed sales</t>
  </si>
  <si>
    <t xml:space="preserve">Review</t>
  </si>
  <si>
    <t xml:space="preserve">I-01</t>
  </si>
  <si>
    <t xml:space="preserve">Capex additions vs capital goods ITC</t>
  </si>
  <si>
    <t xml:space="preserve">s.17(5)(c)(d)</t>
  </si>
  <si>
    <t xml:space="preserve">FAR, Note on PPE/CWIP, 3B</t>
  </si>
  <si>
    <t xml:space="preserve">Building/civil CWIP with ITC; P&amp;M classification</t>
  </si>
  <si>
    <t xml:space="preserve">ITC on immovable property</t>
  </si>
  <si>
    <t xml:space="preserve">I-02</t>
  </si>
  <si>
    <t xml:space="preserve">Expense heads vs 3CD cl.44</t>
  </si>
  <si>
    <t xml:space="preserve">s.16, s.17</t>
  </si>
  <si>
    <t xml:space="preserve">Form 3CD cl.44, ITC ledger</t>
  </si>
  <si>
    <t xml:space="preserve">ITC claimed on expenses shown as unregistered/exempt/composition in cl.44</t>
  </si>
  <si>
    <t xml:space="preserve">I-03</t>
  </si>
  <si>
    <t xml:space="preserve">Inventory losses &amp; write-offs</t>
  </si>
  <si>
    <t xml:space="preserve">Inventory note, P&amp;L</t>
  </si>
  <si>
    <t xml:space="preserve">Shortages, obsolescence, destruction written off without ITC reversal</t>
  </si>
  <si>
    <t xml:space="preserve">ITC on inputs</t>
  </si>
  <si>
    <t xml:space="preserve">I-04</t>
  </si>
  <si>
    <t xml:space="preserve">Trade payables &gt; 180 days</t>
  </si>
  <si>
    <t xml:space="preserve">Rule 37</t>
  </si>
  <si>
    <t xml:space="preserve">Payables ageing (Sch. III MSME disclosure)</t>
  </si>
  <si>
    <t xml:space="preserve">Cross-check with ITC reversal</t>
  </si>
  <si>
    <t xml:space="preserve">ITC + interest</t>
  </si>
  <si>
    <t xml:space="preserve">I-05</t>
  </si>
  <si>
    <t xml:space="preserve">Year-end accruals</t>
  </si>
  <si>
    <t xml:space="preserve">s.16(2)(a)</t>
  </si>
  <si>
    <t xml:space="preserve">Provisions note</t>
  </si>
  <si>
    <t xml:space="preserve">ITC claimed on provisions without invoice</t>
  </si>
  <si>
    <t xml:space="preserve">I-06</t>
  </si>
  <si>
    <t xml:space="preserve">Bad debts written off</t>
  </si>
  <si>
    <t xml:space="preserve">s.34</t>
  </si>
  <si>
    <t xml:space="preserve">P&amp;L, receivables note</t>
  </si>
  <si>
    <t xml:space="preserve">Output tax reduced without valid CN</t>
  </si>
  <si>
    <t xml:space="preserve">Tax reduction</t>
  </si>
  <si>
    <t xml:space="preserve">I-07</t>
  </si>
  <si>
    <t xml:space="preserve">Contingent liabilities &amp; CARO (vii)</t>
  </si>
  <si>
    <t xml:space="preserve">Annual report, CARO</t>
  </si>
  <si>
    <t xml:space="preserve">Disputed/undisputed GST dues, pending notices captured</t>
  </si>
  <si>
    <t xml:space="preserve">Disclosed dues</t>
  </si>
  <si>
    <t xml:space="preserve">Track / provide</t>
  </si>
  <si>
    <t xml:space="preserve">I-08</t>
  </si>
  <si>
    <t xml:space="preserve">Deferred revenue / unbilled revenue</t>
  </si>
  <si>
    <t xml:space="preserve">s.12, s.13, s.31</t>
  </si>
  <si>
    <t xml:space="preserve">Revenue notes (Ind AS 115)</t>
  </si>
  <si>
    <t xml:space="preserve">Time of supply triggered on milestones/due date vs invoicing</t>
  </si>
  <si>
    <t xml:space="preserve">J-01</t>
  </si>
  <si>
    <t xml:space="preserve">Interest on delayed payment</t>
  </si>
  <si>
    <t xml:space="preserve">s.50(1), proviso</t>
  </si>
  <si>
    <t xml:space="preserve">3B filing dates, cash ledger</t>
  </si>
  <si>
    <t xml:space="preserve">18% on net cash liability paid late</t>
  </si>
  <si>
    <t xml:space="preserve">Interest</t>
  </si>
  <si>
    <t xml:space="preserve">Pay via DRC-03</t>
  </si>
  <si>
    <t xml:space="preserve">J-02</t>
  </si>
  <si>
    <t xml:space="preserve">Interest on wrong ITC availed &amp; utilised</t>
  </si>
  <si>
    <t xml:space="preserve">s.50(3), Rule 88B</t>
  </si>
  <si>
    <t xml:space="preserve">ITC ledger, cash ledger</t>
  </si>
  <si>
    <t xml:space="preserve">18% only when ITC utilised (ledger balance below wrong ITC)</t>
  </si>
  <si>
    <t xml:space="preserve">J-03</t>
  </si>
  <si>
    <t xml:space="preserve">Late fees</t>
  </si>
  <si>
    <t xml:space="preserve">s.47</t>
  </si>
  <si>
    <t xml:space="preserve">Filing dates</t>
  </si>
  <si>
    <t xml:space="preserve">GSTR-1/3B/9 late fee computation</t>
  </si>
  <si>
    <t xml:space="preserve">Late fee</t>
  </si>
  <si>
    <t xml:space="preserve">J-04</t>
  </si>
  <si>
    <t xml:space="preserve">DRC-03 mapping</t>
  </si>
  <si>
    <t xml:space="preserve">Rule 142(2)</t>
  </si>
  <si>
    <t xml:space="preserve">DRC-03 records</t>
  </si>
  <si>
    <t xml:space="preserve">Each voluntary payment mapped to issue &amp; period; ledger debit correct</t>
  </si>
  <si>
    <t xml:space="preserve">Unmapped</t>
  </si>
  <si>
    <t xml:space="preserve">Map / DRC-03A</t>
  </si>
  <si>
    <t xml:space="preserve">K-01</t>
  </si>
  <si>
    <t xml:space="preserve">Proceeding section by FY</t>
  </si>
  <si>
    <t xml:space="preserve">s.73, 74 (up to FY 2023-24); s.74A (FY 2024-25 onwards) – F(No.2)A 2024</t>
  </si>
  <si>
    <t xml:space="preserve">FY of each flagged issue</t>
  </si>
  <si>
    <t xml:space="preserve">FY ≤ 2023-24 → s.73 (non-fraud) / s.74 (fraud); FY ≥ 2024-25 → s.74A</t>
  </si>
  <si>
    <t xml:space="preserve">Every flagged issue</t>
  </si>
  <si>
    <t xml:space="preserve">Tag each Fail row via 'Sec 73-74 Classifier' sheet</t>
  </si>
  <si>
    <t xml:space="preserve">K-02</t>
  </si>
  <si>
    <t xml:space="preserve">Fraud / suppression indicators</t>
  </si>
  <si>
    <t xml:space="preserve">s.74 Expl. 2; s.74A; Uniworth Textiles (2013) 9 SCC 753; Pushpam Pharmaceuticals 1995 Supp (3) SCC 462; Continental Foundation JV (2007) 10 SCC 337</t>
  </si>
  <si>
    <t xml:space="preserve">Rule results, vendor verification, returns vs books</t>
  </si>
  <si>
    <t xml:space="preserve">Fake invoices / ITC without supply, non-existent vendor, circular trading, non-declaration in returns, not furnishing info on request, wilful misstatement. Defence: mere non-payment, bona fide interpretational dispute or data mismatch ≠ suppression; SCN must specifically allege and evidence intent</t>
  </si>
  <si>
    <t xml:space="preserve">Any Y</t>
  </si>
  <si>
    <t xml:space="preserve">Penalty up to 100% + extended limitation</t>
  </si>
  <si>
    <t xml:space="preserve">Classify as fraud limb; build defence file</t>
  </si>
  <si>
    <t xml:space="preserve">K-03</t>
  </si>
  <si>
    <t xml:space="preserve">Limitation – SCN &amp; order</t>
  </si>
  <si>
    <t xml:space="preserve">s.73(2)(10), 74(2)(10), 74A(2)(10)</t>
  </si>
  <si>
    <t xml:space="preserve">Annual return due date, SCN date</t>
  </si>
  <si>
    <t xml:space="preserve">73: order 3 yrs, SCN 3 months earlier; 74: order 5 yrs, SCN 6 months earlier; 74A: SCN 42 months, order 12 months from SCN (+6 extendable)</t>
  </si>
  <si>
    <t xml:space="preserve">SCN after deadline</t>
  </si>
  <si>
    <t xml:space="preserve">Demand time-barred</t>
  </si>
  <si>
    <t xml:space="preserve">Plead limitation</t>
  </si>
  <si>
    <t xml:space="preserve">K-04</t>
  </si>
  <si>
    <t xml:space="preserve">Demand workings by FY</t>
  </si>
  <si>
    <t xml:space="preserve">No SCN under s.74A where tax involved in a FY &lt; ₹1,000</t>
  </si>
  <si>
    <t xml:space="preserve">&lt; ₹1,000</t>
  </si>
  <si>
    <t xml:space="preserve">Object to SCN</t>
  </si>
  <si>
    <t xml:space="preserve">K-05</t>
  </si>
  <si>
    <t xml:space="preserve">COVID extension (s.73 only)</t>
  </si>
  <si>
    <t xml:space="preserve">Notfn 13/2022, 9/2023, 56/2023 (s.168A); Tata Play (Mad HC, 12.06.2025) struck down; Brunda Infra (Telangana HC) upheld; SC SLP HCC-SEW-MEIL-AAG JV</t>
  </si>
  <si>
    <t xml:space="preserve">FY 2017-18 to 2019-20</t>
  </si>
  <si>
    <t xml:space="preserve">Order deadlines: FY17-18 31.12.2023; FY18-19 30.04.2024; FY19-20 31.08.2024. Validity sub judice before SC – plead limitation where orders rely on these extensions</t>
  </si>
  <si>
    <t xml:space="preserve">Order after date</t>
  </si>
  <si>
    <t xml:space="preserve">K-06</t>
  </si>
  <si>
    <t xml:space="preserve">Pre-SCN voluntary payment</t>
  </si>
  <si>
    <t xml:space="preserve">s.73(5)(6), 74(5)(6), 74A(5)(8)</t>
  </si>
  <si>
    <t xml:space="preserve">DRC-03, interest computation</t>
  </si>
  <si>
    <t xml:space="preserve">Tax + interest paid before SCN: no SCN; penalty nil (non-fraud) / 15% (fraud)</t>
  </si>
  <si>
    <t xml:space="preserve">Interest + penalty saved</t>
  </si>
  <si>
    <t xml:space="preserve">Pay via DRC-03 with interest, intimate</t>
  </si>
  <si>
    <t xml:space="preserve">K-07</t>
  </si>
  <si>
    <t xml:space="preserve">Penalty exposure by payment stage</t>
  </si>
  <si>
    <t xml:space="preserve">s.73(8)(9)(11), 74(8)(9)(10)(11), 74A(5)(8)(9)</t>
  </si>
  <si>
    <t xml:space="preserve">Payment stage</t>
  </si>
  <si>
    <t xml:space="preserve">Non-fraud: nil if paid within 30 days of SCN (60 for 74A), else 10% or ₹10,000 higher. Fraud: 15% pre-SCN / 25% within 30 (60) days of SCN / 50% within 30 (60) days of order / 100%</t>
  </si>
  <si>
    <t xml:space="preserve">Penalty</t>
  </si>
  <si>
    <t xml:space="preserve">Choose payment timing</t>
  </si>
  <si>
    <t xml:space="preserve">K-08</t>
  </si>
  <si>
    <t xml:space="preserve">s.128A waiver eligibility</t>
  </si>
  <si>
    <t xml:space="preserve">s.128A, Rule 164</t>
  </si>
  <si>
    <t xml:space="preserve">FY 2017-18 to 2019-20 s.73 demands</t>
  </si>
  <si>
    <t xml:space="preserve">Interest &amp; penalty waived if full tax paid by 31.03.2025; not for erroneous refunds</t>
  </si>
  <si>
    <t xml:space="preserve">Eligible cases</t>
  </si>
  <si>
    <t xml:space="preserve">Interest + penalty waived</t>
  </si>
  <si>
    <t xml:space="preserve">Check application (SPL-01/02) status</t>
  </si>
  <si>
    <t xml:space="preserve">K-09</t>
  </si>
  <si>
    <t xml:space="preserve">Fraud not established</t>
  </si>
  <si>
    <t xml:space="preserve">s.75(2)</t>
  </si>
  <si>
    <t xml:space="preserve">SCN/order</t>
  </si>
  <si>
    <t xml:space="preserve">If fraud limb fails before appellate authority, re-determine as non-fraud within non-fraud limitation</t>
  </si>
  <si>
    <t xml:space="preserve">Penalty reduction</t>
  </si>
  <si>
    <t xml:space="preserve">Plead s.75(2)</t>
  </si>
  <si>
    <t xml:space="preserve">K-10</t>
  </si>
  <si>
    <t xml:space="preserve">Erroneous refunds</t>
  </si>
  <si>
    <t xml:space="preserve">s.73(10), 74(10), 74A(2)</t>
  </si>
  <si>
    <t xml:space="preserve">Refund orders</t>
  </si>
  <si>
    <t xml:space="preserve">Limitation from date of refund order, not annual return</t>
  </si>
  <si>
    <t xml:space="preserve">Refund amount + interest</t>
  </si>
  <si>
    <t xml:space="preserve">Compute separately</t>
  </si>
  <si>
    <t xml:space="preserve">K-11</t>
  </si>
  <si>
    <t xml:space="preserve">Recurring issues – statement route</t>
  </si>
  <si>
    <t xml:space="preserve">s.73(3), 74(3), 74A(3)</t>
  </si>
  <si>
    <t xml:space="preserve">Prior SCNs</t>
  </si>
  <si>
    <t xml:space="preserve">Same grounds for later periods via statement (DRC-02) – no fresh SCN needed</t>
  </si>
  <si>
    <t xml:space="preserve">Repeat issue</t>
  </si>
  <si>
    <t xml:space="preserve">Extended demand</t>
  </si>
  <si>
    <t xml:space="preserve">Track across periods</t>
  </si>
  <si>
    <t xml:space="preserve">L-01</t>
  </si>
  <si>
    <t xml:space="preserve">Residential project rate &amp; ITC bar</t>
  </si>
  <si>
    <t xml:space="preserve">Notfn 11/2017-CTR entries (i),(ia)-(if) as amended by 3/2019</t>
  </si>
  <si>
    <t xml:space="preserve">Project-wise sales, ITC ledger</t>
  </si>
  <si>
    <t xml:space="preserve">Residential RREP/non-RREP at concessional rate without ITC; no ITC claimed on such projects; ongoing-project option exercised</t>
  </si>
  <si>
    <t xml:space="preserve">Reverse ITC</t>
  </si>
  <si>
    <t xml:space="preserve">L-02</t>
  </si>
  <si>
    <t xml:space="preserve">80% procurement from registered persons</t>
  </si>
  <si>
    <t xml:space="preserve">Notfn 3/2019, 7/2019-CTR</t>
  </si>
  <si>
    <t xml:space="preserve">Project-wise purchase register (registered vs URD)</t>
  </si>
  <si>
    <t xml:space="preserve">Inputs/input services from registered ≥ 80% (project-wise, FY-wise); shortfall RCM @18%; cement from URP always RCM at applicable rate (18% w.e.f. 22.09.2025, earlier 28%); capital goods from URP at applicable rate</t>
  </si>
  <si>
    <t xml:space="preserve">Shortfall</t>
  </si>
  <si>
    <t xml:space="preserve">RCM on shortfall + interest</t>
  </si>
  <si>
    <t xml:space="preserve">Pay RCM via DRC-03/3B</t>
  </si>
  <si>
    <t xml:space="preserve">L-03</t>
  </si>
  <si>
    <t xml:space="preserve">Land value deduction</t>
  </si>
  <si>
    <t xml:space="preserve">Notfn 11/2017-CTR para 2</t>
  </si>
  <si>
    <t xml:space="preserve">Sale agreements</t>
  </si>
  <si>
    <t xml:space="preserve">Deemed land value 1/3 of total consideration deducted; no other land deduction</t>
  </si>
  <si>
    <t xml:space="preserve">Correct valuation</t>
  </si>
  <si>
    <t xml:space="preserve">L-04</t>
  </si>
  <si>
    <t xml:space="preserve">TDR / FSI / long-term lease premium</t>
  </si>
  <si>
    <t xml:space="preserve">Notfn 4/2019, 5/2019-CTR, 13/2017-CTR</t>
  </si>
  <si>
    <t xml:space="preserve">Development agreements, TDR purchase</t>
  </si>
  <si>
    <t xml:space="preserve">RCM on TDR/FSI/upfront lease premium; exemption proportion for residential units sold before CC; tax on unsold area at CC</t>
  </si>
  <si>
    <t xml:space="preserve">RCM + interest</t>
  </si>
  <si>
    <t xml:space="preserve">Pay RCM on due time of supply</t>
  </si>
  <si>
    <t xml:space="preserve">L-05</t>
  </si>
  <si>
    <t xml:space="preserve">Completion certificate &amp; unsold units</t>
  </si>
  <si>
    <t xml:space="preserve">Sch III para 5(b), Rule 42/43 (Annexure for RE)</t>
  </si>
  <si>
    <t xml:space="preserve">CC date, unsold inventory</t>
  </si>
  <si>
    <t xml:space="preserve">Sales after CC not a supply; common ITC reversal for area unsold on CC</t>
  </si>
  <si>
    <t xml:space="preserve">ITC on unsold area</t>
  </si>
  <si>
    <t xml:space="preserve">L-06</t>
  </si>
  <si>
    <t xml:space="preserve">Joint development – landowner share</t>
  </si>
  <si>
    <t xml:space="preserve">Notfn 11/2017, 4/2019-CTR; s.15</t>
  </si>
  <si>
    <t xml:space="preserve">JDA, area allocation</t>
  </si>
  <si>
    <t xml:space="preserve">Construction service to landowner valued at similar flat price; landowner TDR/development rights RCM</t>
  </si>
  <si>
    <t xml:space="preserve">Tax on landowner share</t>
  </si>
  <si>
    <t xml:space="preserve">L-07</t>
  </si>
  <si>
    <t xml:space="preserve">Booking cancellations</t>
  </si>
  <si>
    <t xml:space="preserve">Cancellation register, refunds</t>
  </si>
  <si>
    <t xml:space="preserve">CN within s.34 time limit; linked to original demand invoice</t>
  </si>
  <si>
    <t xml:space="preserve">Late CN</t>
  </si>
  <si>
    <t xml:space="preserve">Tax not recoverable</t>
  </si>
  <si>
    <t xml:space="preserve">Issue CN within limit</t>
  </si>
  <si>
    <t xml:space="preserve">L-08</t>
  </si>
  <si>
    <t xml:space="preserve">Commercial units / mixed projects</t>
  </si>
  <si>
    <t xml:space="preserve">Notfn 11/2017-CTR</t>
  </si>
  <si>
    <t xml:space="preserve">Project area statement</t>
  </si>
  <si>
    <t xml:space="preserve">Rate &amp; ITC per current notification for commercial portion; common ITC apportioned by carpet area</t>
  </si>
  <si>
    <t xml:space="preserve">Excess ITC / short tax</t>
  </si>
  <si>
    <t xml:space="preserve">Re-apportion</t>
  </si>
  <si>
    <t xml:space="preserve">L-09</t>
  </si>
  <si>
    <t xml:space="preserve">Stage-wise demands &amp; advances</t>
  </si>
  <si>
    <t xml:space="preserve">s.13, s.31(5)</t>
  </si>
  <si>
    <t xml:space="preserve">Demand letters, receipts</t>
  </si>
  <si>
    <t xml:space="preserve">Time of supply at earlier of invoice/demand due date/receipt</t>
  </si>
  <si>
    <t xml:space="preserve">Pay with interest</t>
  </si>
  <si>
    <t xml:space="preserve">L-10</t>
  </si>
  <si>
    <t xml:space="preserve">Works contract classification &amp; rate</t>
  </si>
  <si>
    <t xml:space="preserve">s.2(119); Notfn 11/2017-CTR entry 3</t>
  </si>
  <si>
    <t xml:space="preserve">Contracts, recipient type</t>
  </si>
  <si>
    <t xml:space="preserve">Composite works contract; rate per recipient type &amp; nature. W.e.f. 22.09.2025 Govt earthwork (&gt;75%) and related sub-contracts moved 12% → 18% with ITC; flag stale 12% invoices</t>
  </si>
  <si>
    <t xml:space="preserve">Mis-rate</t>
  </si>
  <si>
    <t xml:space="preserve">Pay / CN</t>
  </si>
  <si>
    <t xml:space="preserve">L-11</t>
  </si>
  <si>
    <t xml:space="preserve">Govt TDS credits</t>
  </si>
  <si>
    <t xml:space="preserve">s.51, GSTR-7</t>
  </si>
  <si>
    <t xml:space="preserve">GSTR-7 data, 26AS</t>
  </si>
  <si>
    <t xml:space="preserve">TDS credit vs invoices &amp; declared turnover; accepted on portal</t>
  </si>
  <si>
    <t xml:space="preserve">Mismatch</t>
  </si>
  <si>
    <t xml:space="preserve">Unreported turnover</t>
  </si>
  <si>
    <t xml:space="preserve">L-12</t>
  </si>
  <si>
    <t xml:space="preserve">Retention money &amp; mobilisation advance</t>
  </si>
  <si>
    <t xml:space="preserve">s.13, s.31</t>
  </si>
  <si>
    <t xml:space="preserve">Contract ledger</t>
  </si>
  <si>
    <t xml:space="preserve">Tax on mobilisation advance at receipt; retention part of invoice value</t>
  </si>
  <si>
    <t xml:space="preserve">L-13</t>
  </si>
  <si>
    <t xml:space="preserve">Job work – ITC-04 &amp; return timeline</t>
  </si>
  <si>
    <t xml:space="preserve">s.143, s.19, Rule 45</t>
  </si>
  <si>
    <t xml:space="preserve">ITC-04, job work challans</t>
  </si>
  <si>
    <t xml:space="preserve">Inputs returned in 1 yr / capital goods 3 yrs; else deemed supply</t>
  </si>
  <si>
    <t xml:space="preserve">Tax on deemed supply</t>
  </si>
  <si>
    <t xml:space="preserve">L-14</t>
  </si>
  <si>
    <t xml:space="preserve">Quantitative stock reconciliation</t>
  </si>
  <si>
    <t xml:space="preserve">s.17(5)(h), s.35</t>
  </si>
  <si>
    <t xml:space="preserve">Annual report inventory note, 3CD quantitative details</t>
  </si>
  <si>
    <t xml:space="preserve">Opening + purchases/production − sales = closing; shortages → ITC reversal; excess → suppressed sales</t>
  </si>
  <si>
    <t xml:space="preserve">&gt; 1% variance</t>
  </si>
  <si>
    <t xml:space="preserve">ITC reversal / tax on excess</t>
  </si>
  <si>
    <t xml:space="preserve">Investigate</t>
  </si>
  <si>
    <t xml:space="preserve">L-15</t>
  </si>
  <si>
    <t xml:space="preserve">Inverted duty refund</t>
  </si>
  <si>
    <t xml:space="preserve">s.54(3), Rule 89(5)</t>
  </si>
  <si>
    <t xml:space="preserve">Refund filings, rate data</t>
  </si>
  <si>
    <t xml:space="preserve">Refund formula; 2-year limit; input services &amp; capital goods excluded</t>
  </si>
  <si>
    <t xml:space="preserve">Refund loss / excess refund</t>
  </si>
  <si>
    <t xml:space="preserve">Claim / reverse</t>
  </si>
  <si>
    <t xml:space="preserve">L-16</t>
  </si>
  <si>
    <t xml:space="preserve">Warranty replacements</t>
  </si>
  <si>
    <t xml:space="preserve">Circ 195/2023</t>
  </si>
  <si>
    <t xml:space="preserve">Warranty register</t>
  </si>
  <si>
    <t xml:space="preserve">No tax on free replacement; no ITC reversal where warranty cost built into price</t>
  </si>
  <si>
    <t xml:space="preserve">Document</t>
  </si>
  <si>
    <t xml:space="preserve">L-17</t>
  </si>
  <si>
    <t xml:space="preserve">By-products &amp; scrap</t>
  </si>
  <si>
    <t xml:space="preserve">s.7, s.17(2)</t>
  </si>
  <si>
    <t xml:space="preserve">Scrap sales, production data</t>
  </si>
  <si>
    <t xml:space="preserve">Taxable at correct rate; exempt by-products → Rule 42 reversal</t>
  </si>
  <si>
    <t xml:space="preserve">Tax / ITC reversal</t>
  </si>
  <si>
    <t xml:space="preserve">L-18</t>
  </si>
  <si>
    <t xml:space="preserve">Cash sales vs bank/POS/UPI</t>
  </si>
  <si>
    <t xml:space="preserve">s.35</t>
  </si>
  <si>
    <t xml:space="preserve">Sales register, bank, POS/UPI settlements</t>
  </si>
  <si>
    <t xml:space="preserve">Receipts per bank/POS ≥ declared sales; unexplained credits flagged</t>
  </si>
  <si>
    <t xml:space="preserve">Diff &gt; 1%</t>
  </si>
  <si>
    <t xml:space="preserve">Tax on suppressed sales</t>
  </si>
  <si>
    <t xml:space="preserve">Explain / pay</t>
  </si>
  <si>
    <t xml:space="preserve">L-19</t>
  </si>
  <si>
    <t xml:space="preserve">Schemes, free gifts, BOGO, dealer incentives</t>
  </si>
  <si>
    <t xml:space="preserve">Circ 92/2019, 212/2024; s.15(3)</t>
  </si>
  <si>
    <t xml:space="preserve">Scheme circulars, CNs</t>
  </si>
  <si>
    <t xml:space="preserve">BOGO = single supply; free gifts → ITC reversal; post-sale incentives via s.15(3)(b) conditions</t>
  </si>
  <si>
    <t xml:space="preserve">ITC reversal / tax</t>
  </si>
  <si>
    <t xml:space="preserve">Correct treatment</t>
  </si>
  <si>
    <t xml:space="preserve">L-20</t>
  </si>
  <si>
    <t xml:space="preserve">Sales returns</t>
  </si>
  <si>
    <t xml:space="preserve">Returns register, CNs</t>
  </si>
  <si>
    <t xml:space="preserve">Returns within s.34 limit via CN; later returns as fresh supply by buyer</t>
  </si>
  <si>
    <t xml:space="preserve">Tax on returns</t>
  </si>
  <si>
    <t xml:space="preserve">L-21</t>
  </si>
  <si>
    <t xml:space="preserve">Dynamic QR on B2C invoices</t>
  </si>
  <si>
    <t xml:space="preserve">Notfn 14/2020-CT</t>
  </si>
  <si>
    <t xml:space="preserve">B2C invoices, AATO</t>
  </si>
  <si>
    <t xml:space="preserve">AATO &gt; ₹500 cr: dynamic QR code on B2C invoices</t>
  </si>
  <si>
    <t xml:space="preserve">L-22</t>
  </si>
  <si>
    <t xml:space="preserve">Composition scheme conditions</t>
  </si>
  <si>
    <t xml:space="preserve">s.10, Rule 5</t>
  </si>
  <si>
    <t xml:space="preserve">Turnover, invoices</t>
  </si>
  <si>
    <t xml:space="preserve">Turnover limit; no inter-state outward supply; bill of supply; CMP-08/GSTR-4 filed</t>
  </si>
  <si>
    <t xml:space="preserve">Regular tax + interest</t>
  </si>
  <si>
    <t xml:space="preserve">Exit composition</t>
  </si>
  <si>
    <t xml:space="preserve">L-23</t>
  </si>
  <si>
    <t xml:space="preserve">Continuous supply of services</t>
  </si>
  <si>
    <t xml:space="preserve">Contracts, invoices</t>
  </si>
  <si>
    <t xml:space="preserve">Invoice on/before payment due date or milestone</t>
  </si>
  <si>
    <t xml:space="preserve">L-24</t>
  </si>
  <si>
    <t xml:space="preserve">Intermediary classification</t>
  </si>
  <si>
    <t xml:space="preserve">IGST s.2(13), s.13(8)(b) (omitted w.e.f. 30.03.2026 by FA 2026 s.157); Circ 159/2021</t>
  </si>
  <si>
    <t xml:space="preserve">Foreign contracts</t>
  </si>
  <si>
    <t xml:space="preserve">Periods up to 29.03.2026: intermediary → POS India, IGST payable (legacy exposure). From 30.03.2026: POS = recipient; zero-rated if s.2(6) met. Verify LUT and invoice-date split</t>
  </si>
  <si>
    <t xml:space="preserve">IGST on 'exports'</t>
  </si>
  <si>
    <t xml:space="preserve">Pay / defend</t>
  </si>
  <si>
    <t xml:space="preserve">L-25</t>
  </si>
  <si>
    <t xml:space="preserve">Cross-charge between distinct persons</t>
  </si>
  <si>
    <t xml:space="preserve">Sch I para 2, Rule 28; Circ 199/2023</t>
  </si>
  <si>
    <t xml:space="preserve">HO/branch cost allocation</t>
  </si>
  <si>
    <t xml:space="preserve">Cross-charge of common services; employee cost excluded; invoice value deemed OMV where full ITC available</t>
  </si>
  <si>
    <t xml:space="preserve">Tax at branch / ITC at recipient</t>
  </si>
  <si>
    <t xml:space="preserve">Raise cross-charge / ISD</t>
  </si>
  <si>
    <t xml:space="preserve">L-26</t>
  </si>
  <si>
    <t xml:space="preserve">Import of services from related party</t>
  </si>
  <si>
    <t xml:space="preserve">Sch I para 4; s.5(3) IGST</t>
  </si>
  <si>
    <t xml:space="preserve">Group cost allocations, 15CA/CB</t>
  </si>
  <si>
    <t xml:space="preserve">Services from foreign related party even without consideration → RCM</t>
  </si>
  <si>
    <t xml:space="preserve">L-27</t>
  </si>
  <si>
    <t xml:space="preserve">Refund of accumulated ITC (LUT)</t>
  </si>
  <si>
    <t xml:space="preserve">s.54, Rule 89(4)</t>
  </si>
  <si>
    <t xml:space="preserve">RFD-01, ITC ledger</t>
  </si>
  <si>
    <t xml:space="preserve">Formula computation; 2-year limit; restricted to ITC in 2B</t>
  </si>
  <si>
    <t xml:space="preserve">Excess / short refund</t>
  </si>
  <si>
    <t xml:space="preserve">L-28</t>
  </si>
  <si>
    <t xml:space="preserve">Export proceeds realisation</t>
  </si>
  <si>
    <t xml:space="preserve">Rule 96B, FEMA timeline</t>
  </si>
  <si>
    <t xml:space="preserve">BRC/FIRC, e-BRC</t>
  </si>
  <si>
    <t xml:space="preserve">Realised within RBI period; else refund recovered with interest</t>
  </si>
  <si>
    <t xml:space="preserve">Unrealised</t>
  </si>
  <si>
    <t xml:space="preserve">Refund + interest</t>
  </si>
  <si>
    <t xml:space="preserve">Realise / repay</t>
  </si>
  <si>
    <t xml:space="preserve">L-29</t>
  </si>
  <si>
    <t xml:space="preserve">Merchant exporter concessional rate</t>
  </si>
  <si>
    <t xml:space="preserve">Notfn 40/2017-CT(R), 41/2017-IT(R)</t>
  </si>
  <si>
    <t xml:space="preserve">Purchase orders, shipping bills</t>
  </si>
  <si>
    <t xml:space="preserve">0.1% supplies exported within 90 days; conditions met</t>
  </si>
  <si>
    <t xml:space="preserve">Differential tax (supplier)</t>
  </si>
  <si>
    <t xml:space="preserve">L-30</t>
  </si>
  <si>
    <t xml:space="preserve">Shipping bill vs GSTR-1 (Table 6A)</t>
  </si>
  <si>
    <t xml:space="preserve">Rule 96</t>
  </si>
  <si>
    <t xml:space="preserve">ICEGATE, GSTR-1</t>
  </si>
  <si>
    <t xml:space="preserve">Invoice-wise match to avoid IGST refund blockage</t>
  </si>
  <si>
    <t xml:space="preserve">Refund stuck</t>
  </si>
  <si>
    <t xml:space="preserve">Amend</t>
  </si>
  <si>
    <t xml:space="preserve">L-31</t>
  </si>
  <si>
    <t xml:space="preserve">Exempt interest vs taxable fees</t>
  </si>
  <si>
    <t xml:space="preserve">Notfn 12/2017-CT(R) entry 27; Circ 178/10/2022; Circ 245/02/2025</t>
  </si>
  <si>
    <t xml:space="preserve">Income GL</t>
  </si>
  <si>
    <t xml:space="preserve">Interest exempt; processing fees, locker rent, BG commission taxable; penal charges under RBI directions (w.e.f. 01.01.2024) not taxable (Circ 245/02/2025)</t>
  </si>
  <si>
    <t xml:space="preserve">Mis-classified</t>
  </si>
  <si>
    <t xml:space="preserve">Tax on fees</t>
  </si>
  <si>
    <t xml:space="preserve">L-32</t>
  </si>
  <si>
    <t xml:space="preserve">Bank-specific RCM</t>
  </si>
  <si>
    <t xml:space="preserve">Notfn 13/2017-CT(R) (recovery agent, BC/BF, DSA, director fees, legal, security)</t>
  </si>
  <si>
    <t xml:space="preserve">Expense GL</t>
  </si>
  <si>
    <t xml:space="preserve">RCM paid on all notified services to bank/NBFC</t>
  </si>
  <si>
    <t xml:space="preserve">L-33</t>
  </si>
  <si>
    <t xml:space="preserve">Repossessed assets &amp; NPA security sale</t>
  </si>
  <si>
    <t xml:space="preserve">s.7, Sch I</t>
  </si>
  <si>
    <t xml:space="preserve">Recovery/sale records</t>
  </si>
  <si>
    <t xml:space="preserve">Taxability of sale of repossessed assets; invoice &amp; tax on behalf of borrower where applicable</t>
  </si>
  <si>
    <t xml:space="preserve">Tax</t>
  </si>
  <si>
    <t xml:space="preserve">L-34</t>
  </si>
  <si>
    <t xml:space="preserve">Restaurant/accommodation rate option</t>
  </si>
  <si>
    <t xml:space="preserve">Notfn 11/2017-CT(R) entries 7(i)/(ii)/(vi); Notfn 05/2025-CT(R) w.e.f. 01.04.2025; Notfn 15/2025-CT(R) w.e.f. 22.09.2025</t>
  </si>
  <si>
    <t xml:space="preserve">Tariff data, ITC ledger</t>
  </si>
  <si>
    <t xml:space="preserve">Rooms ≤ ₹7,500/unit/day: 5% without ITC; &gt; ₹7,500: 18% with ITC (from 22.09.2025). Restaurant at 'specified premises' (any unit &gt; ₹7,500 in preceding FY, or Annexure VII opt-in 1 Jan–31 Mar) 18% with ITC; else 5% without ITC. Mixed rooms → monthly Rule 42/43 apportionment</t>
  </si>
  <si>
    <t xml:space="preserve">ITC under 5%</t>
  </si>
  <si>
    <t xml:space="preserve">L-35</t>
  </si>
  <si>
    <t xml:space="preserve">Liquor (non-GST) sales &amp; common ITC</t>
  </si>
  <si>
    <t xml:space="preserve">s.17(2)(3), Rule 42/43</t>
  </si>
  <si>
    <t xml:space="preserve">Liquor sales, common ITC</t>
  </si>
  <si>
    <t xml:space="preserve">Liquor turnover = exempt turnover for common credit reversal</t>
  </si>
  <si>
    <t xml:space="preserve">ITC reversal + interest</t>
  </si>
  <si>
    <t xml:space="preserve">L-36</t>
  </si>
  <si>
    <t xml:space="preserve">ECO food delivery – s.9(5)</t>
  </si>
  <si>
    <t xml:space="preserve">s.9(5); Notfn 17/2021-CT(R)</t>
  </si>
  <si>
    <t xml:space="preserve">Aggregator settlement reports, GSTR-3B 3.1.1</t>
  </si>
  <si>
    <t xml:space="preserve">Tax on aggregator orders paid by ECO; excluded from own liability; reported correctly</t>
  </si>
  <si>
    <t xml:space="preserve">Double payment / omission</t>
  </si>
  <si>
    <t xml:space="preserve">Excess / short tax</t>
  </si>
  <si>
    <t xml:space="preserve">L-37</t>
  </si>
  <si>
    <t xml:space="preserve">Banquets, events, outdoor catering</t>
  </si>
  <si>
    <t xml:space="preserve">IGST s.12(7); Notfn 11/2017-CT(R)</t>
  </si>
  <si>
    <t xml:space="preserve">Banquet invoices</t>
  </si>
  <si>
    <t xml:space="preserve">Correct rate &amp; POS; composite vs mixed supply</t>
  </si>
  <si>
    <t xml:space="preserve">L-38</t>
  </si>
  <si>
    <t xml:space="preserve">GTA forward charge option</t>
  </si>
  <si>
    <t xml:space="preserve">Notfn 11/2017-CT(R) entry 9(iii) as amended; Notfn 15/2025-CT(R); Annexure V/VI</t>
  </si>
  <si>
    <t xml:space="preserve">Declarations, invoices</t>
  </si>
  <si>
    <t xml:space="preserve">Default 5% RCM. FCM by Annexure V by 31 March of preceding FY (deemed continuing; revert via Annexure VI): 5% without ITC or 18% with ITC (12% option replaced w.e.f. 22.09.2025). Flag 12% invoices after 22.09.2025; Annexure III declaration on each FCM invoice</t>
  </si>
  <si>
    <t xml:space="preserve">No declaration</t>
  </si>
  <si>
    <t xml:space="preserve">Wrong charge mechanism</t>
  </si>
  <si>
    <t xml:space="preserve">L-39</t>
  </si>
  <si>
    <t xml:space="preserve">GTA ITC &amp; consignment note</t>
  </si>
  <si>
    <t xml:space="preserve">Notfn 11/2017-CT(R), 12/2017-CT(R)</t>
  </si>
  <si>
    <t xml:space="preserve">ITC ledger, consignment notes</t>
  </si>
  <si>
    <t xml:space="preserve">ITC restriction under concessional option; consignment note issued; exempt consignments (agri etc.)</t>
  </si>
  <si>
    <t xml:space="preserve">ITC / tax</t>
  </si>
  <si>
    <t xml:space="preserve">L-40</t>
  </si>
  <si>
    <t xml:space="preserve">GSTR-8 TCS vs sales</t>
  </si>
  <si>
    <t xml:space="preserve">s.52</t>
  </si>
  <si>
    <t xml:space="preserve">GSTR-8, marketplace reports</t>
  </si>
  <si>
    <t xml:space="preserve">TCS net value = declared sales via ECO</t>
  </si>
  <si>
    <t xml:space="preserve">L-41</t>
  </si>
  <si>
    <t xml:space="preserve">Marketplace settlement reconciliation</t>
  </si>
  <si>
    <t xml:space="preserve">Settlement reports, commission invoices</t>
  </si>
  <si>
    <t xml:space="preserve">Gross sales, returns, commissions, ITC on commission invoices</t>
  </si>
  <si>
    <t xml:space="preserve">Tax / ITC</t>
  </si>
  <si>
    <t xml:space="preserve">L-42</t>
  </si>
  <si>
    <t xml:space="preserve">Warehouses / APOB in other states</t>
  </si>
  <si>
    <t xml:space="preserve">s.22, s.25</t>
  </si>
  <si>
    <t xml:space="preserve">Registrations, stock locations</t>
  </si>
  <si>
    <t xml:space="preserve">Registration in each state with stock; stock transfers invoiced</t>
  </si>
  <si>
    <t xml:space="preserve">Tax / penalty</t>
  </si>
  <si>
    <t xml:space="preserve">Register / correct</t>
  </si>
  <si>
    <t xml:space="preserve">L-43</t>
  </si>
  <si>
    <t xml:space="preserve">Exemption conditions – education/health/charity</t>
  </si>
  <si>
    <t xml:space="preserve">Notfn 12/2017-CT(R) entries 1, 66, 74, 80</t>
  </si>
  <si>
    <t xml:space="preserve">Registrations (12AB), receipts</t>
  </si>
  <si>
    <t xml:space="preserve">Exempt services meet conditions (student education, clinical establishment, charitable activity)</t>
  </si>
  <si>
    <t xml:space="preserve">Tax on receipts</t>
  </si>
  <si>
    <t xml:space="preserve">Pay / restructure</t>
  </si>
  <si>
    <t xml:space="preserve">L-44</t>
  </si>
  <si>
    <t xml:space="preserve">Taxable incidental receipts</t>
  </si>
  <si>
    <t xml:space="preserve">Notfn 11/2017, 12/2017-CT(R)</t>
  </si>
  <si>
    <t xml:space="preserve">Receipts GL (hostel, canteen, rent, room rent, sponsorship)</t>
  </si>
  <si>
    <t xml:space="preserve">Hostel accommodation ≤ ₹20,000 per person per month for ≥ 90 continuous days exempt (Notfn 4/2024-CT(R) w.e.f. 15.07.2024; Circ 228/22/2024 for past). Canteen, rent, sponsorship and other receipts taxed at applicable rate</t>
  </si>
  <si>
    <t xml:space="preserve">L-45</t>
  </si>
  <si>
    <t xml:space="preserve">Donations vs consideration</t>
  </si>
  <si>
    <t xml:space="preserve">s.7; Circ 116/35/2019-GST</t>
  </si>
  <si>
    <t xml:space="preserve">Donation register</t>
  </si>
  <si>
    <t xml:space="preserve">Name-plate/acknowledgement as gratitude → not taxable; display amounting to advertisement/promotion of donor's business → taxable</t>
  </si>
  <si>
    <t xml:space="preserve">L-46</t>
  </si>
  <si>
    <t xml:space="preserve">Predominantly exempt – Rule 42 reversal</t>
  </si>
  <si>
    <t xml:space="preserve">ITC ledger, turnover</t>
  </si>
  <si>
    <t xml:space="preserve">Common ITC reversal on high exempt ratio; registration threshold</t>
  </si>
  <si>
    <t xml:space="preserve">ITC reversal</t>
  </si>
  <si>
    <t xml:space="preserve">Case #</t>
  </si>
  <si>
    <t xml:space="preserve">Check (auto)</t>
  </si>
  <si>
    <t xml:space="preserve">FY</t>
  </si>
  <si>
    <t xml:space="preserve">Tax Amount (₹)</t>
  </si>
  <si>
    <t xml:space="preserve">Fake invoice / ITC w/o supply (Y/N)</t>
  </si>
  <si>
    <t xml:space="preserve">Suppression / non-disclosure (Y/N)</t>
  </si>
  <si>
    <t xml:space="preserve">Wilful misstatement (Y/N)</t>
  </si>
  <si>
    <t xml:space="preserve">Nature (auto)</t>
  </si>
  <si>
    <t xml:space="preserve">Section (auto)</t>
  </si>
  <si>
    <t xml:space="preserve">AR Due Date (auto)</t>
  </si>
  <si>
    <t xml:space="preserve">SCN Deadline (auto)</t>
  </si>
  <si>
    <t xml:space="preserve">Order Deadline (auto)</t>
  </si>
  <si>
    <t xml:space="preserve">Limitation Status (auto)</t>
  </si>
  <si>
    <t xml:space="preserve">Payment Stage</t>
  </si>
  <si>
    <t xml:space="preserve">Penalty % (auto)</t>
  </si>
  <si>
    <t xml:space="preserve">Penalty ₹ (auto)</t>
  </si>
  <si>
    <t xml:space="preserve">Interest From</t>
  </si>
  <si>
    <t xml:space="preserve">Payment / Calc Date</t>
  </si>
  <si>
    <t xml:space="preserve">Interest ₹ (auto)</t>
  </si>
  <si>
    <t xml:space="preserve">Total Exposure ₹ (auto)</t>
  </si>
  <si>
    <t xml:space="preserve">s.128A (auto)</t>
  </si>
  <si>
    <t xml:space="preserve">2022-23</t>
  </si>
  <si>
    <t xml:space="preserve">Before SCN</t>
  </si>
  <si>
    <t xml:space="preserve">Sample row</t>
  </si>
  <si>
    <t xml:space="preserve">Notes:</t>
  </si>
  <si>
    <t xml:space="preserve">Section: FY ≤ 2023-24 → s.73 / s.74; FY ≥ 2024-25 → s.74A (single section, fraud &amp; non-fraud limbs).</t>
  </si>
  <si>
    <t xml:space="preserve">Windows: 30 days for s.73/74; 60 days for s.74A.</t>
  </si>
  <si>
    <t xml:space="preserve">Limitation: 73 – order 3 yrs from AR due date, SCN 3 months prior; 74 – order 5 yrs, SCN 6 months prior; 74A – SCN 42 months, order 12 months from SCN (extendable 6 months; deadline shown excludes extension).</t>
  </si>
  <si>
    <t xml:space="preserve">Penalty: Non-fraud – nil if paid before/within window of SCN, else higher of 10% or ₹10,000. Fraud – 15% / 25% / 50% / 100%.</t>
  </si>
  <si>
    <t xml:space="preserve">Interest: simple 18% on tax from due date to payment (s.50); for wrong ITC only from utilisation (Rule 88B) – adjust 'Interest From' date.</t>
  </si>
  <si>
    <t xml:space="preserve">Erroneous refunds: limitation from refund order date – compute manually. Fraud classification is indicative; final view depends on evidence.</t>
  </si>
  <si>
    <t xml:space="preserve">Client Flag Required</t>
  </si>
  <si>
    <t xml:space="preserve">Works Contractor</t>
  </si>
  <si>
    <t xml:space="preserve">Manufacturer</t>
  </si>
  <si>
    <t xml:space="preserve">Exporter</t>
  </si>
  <si>
    <t xml:space="preserve">GTA / Logistics</t>
  </si>
  <si>
    <t xml:space="preserve">E-commerce Seller</t>
  </si>
  <si>
    <t xml:space="preserve">Education / Charitable / Healthcare</t>
  </si>
  <si>
    <t xml:space="preserve">Source</t>
  </si>
  <si>
    <t xml:space="preserve">Key Fields</t>
  </si>
  <si>
    <t xml:space="preserve">Used in Modules</t>
  </si>
  <si>
    <t xml:space="preserve">GSTR-1 / 1A</t>
  </si>
  <si>
    <t xml:space="preserve">B2B/B2C/CDNR/Exports/HSN/Doc series</t>
  </si>
  <si>
    <t xml:space="preserve">A,D,G,H</t>
  </si>
  <si>
    <t xml:space="preserve">GSTR-3B</t>
  </si>
  <si>
    <t xml:space="preserve">3.1 liability, 4 ITC avail/reversal, payment</t>
  </si>
  <si>
    <t xml:space="preserve">B,C,F,G,J</t>
  </si>
  <si>
    <t xml:space="preserve">GSTR-2A / 2B / IMS</t>
  </si>
  <si>
    <t xml:space="preserve">Vendor GSTIN, inv no, date, tax, CN, accept/reject</t>
  </si>
  <si>
    <t xml:space="preserve">B,H</t>
  </si>
  <si>
    <t xml:space="preserve">GSTR-9 / 9C</t>
  </si>
  <si>
    <t xml:space="preserve">Annual turnover, ITC, reconciliation</t>
  </si>
  <si>
    <t xml:space="preserve">G</t>
  </si>
  <si>
    <t xml:space="preserve">GSTR-6 / 7 / 8</t>
  </si>
  <si>
    <t xml:space="preserve">ISD distribution, TDS, TCS</t>
  </si>
  <si>
    <t xml:space="preserve">F,G</t>
  </si>
  <si>
    <t xml:space="preserve">e-Invoice (IRN) &amp; e-Way Bill</t>
  </si>
  <si>
    <t xml:space="preserve">IRN, doc value, EWB no, consignee</t>
  </si>
  <si>
    <t xml:space="preserve">B,G</t>
  </si>
  <si>
    <t xml:space="preserve">ICEGATE BoE</t>
  </si>
  <si>
    <t xml:space="preserve">BoE no, IGST, port</t>
  </si>
  <si>
    <t xml:space="preserve">B</t>
  </si>
  <si>
    <t xml:space="preserve">GSTIN master (API)</t>
  </si>
  <si>
    <t xml:space="preserve">Status, reg/cancel date, type</t>
  </si>
  <si>
    <t xml:space="preserve">A,B</t>
  </si>
  <si>
    <t xml:space="preserve">Purchase / Sales registers</t>
  </si>
  <si>
    <t xml:space="preserve">Invoice-level with GL head mapping</t>
  </si>
  <si>
    <t xml:space="preserve">All</t>
  </si>
  <si>
    <t xml:space="preserve">Trial balance &amp; GL</t>
  </si>
  <si>
    <t xml:space="preserve">Expense/income heads, other income</t>
  </si>
  <si>
    <t xml:space="preserve">C,E,G</t>
  </si>
  <si>
    <t xml:space="preserve">Fixed asset register &amp; CWIP</t>
  </si>
  <si>
    <t xml:space="preserve">Additions, disposals, GST capitalised</t>
  </si>
  <si>
    <t xml:space="preserve">B,E,F,I</t>
  </si>
  <si>
    <t xml:space="preserve">Payables / receivables ageing</t>
  </si>
  <si>
    <t xml:space="preserve">Days outstanding</t>
  </si>
  <si>
    <t xml:space="preserve">B,I</t>
  </si>
  <si>
    <t xml:space="preserve">Annual report notes</t>
  </si>
  <si>
    <t xml:space="preserve">Revenue, other income, RP, inventory, CSR, contingent liabilities</t>
  </si>
  <si>
    <t xml:space="preserve">E,G,I</t>
  </si>
  <si>
    <t xml:space="preserve">Form 3CD (cl. 44), CARO</t>
  </si>
  <si>
    <t xml:space="preserve">GST expense break-up; statutory dues</t>
  </si>
  <si>
    <t xml:space="preserve">I</t>
  </si>
  <si>
    <t xml:space="preserve">26AS / AIS, 15CA/CB</t>
  </si>
  <si>
    <t xml:space="preserve">TDS/TCS, foreign remittances</t>
  </si>
  <si>
    <t xml:space="preserve">C,G</t>
  </si>
  <si>
    <t xml:space="preserve">Electronic ledgers &amp; DRC-03</t>
  </si>
  <si>
    <t xml:space="preserve">Cash/credit balances, payments</t>
  </si>
  <si>
    <t xml:space="preserve">J</t>
  </si>
  <si>
    <t xml:space="preserve">Annual Return Due Date</t>
  </si>
  <si>
    <t xml:space="preserve">s.73 Order Deadline (COVID override)</t>
  </si>
  <si>
    <t xml:space="preserve">Source / Note</t>
  </si>
  <si>
    <t xml:space="preserve">2017-18</t>
  </si>
  <si>
    <t xml:space="preserve">GSTR-9 due date extended; Notfn 9/2023</t>
  </si>
  <si>
    <t xml:space="preserve">2018-19</t>
  </si>
  <si>
    <t xml:space="preserve">Notfn 56/2023</t>
  </si>
  <si>
    <t xml:space="preserve">2019-20</t>
  </si>
  <si>
    <t xml:space="preserve">2020-21</t>
  </si>
  <si>
    <t xml:space="preserve">Extended due date</t>
  </si>
  <si>
    <t xml:space="preserve">2021-22</t>
  </si>
  <si>
    <t xml:space="preserve">Statutory</t>
  </si>
  <si>
    <t xml:space="preserve">2023-24</t>
  </si>
  <si>
    <t xml:space="preserve">2024-25</t>
  </si>
  <si>
    <t xml:space="preserve">Statutory – verify any extension</t>
  </si>
  <si>
    <t xml:space="preserve">2025-26</t>
  </si>
  <si>
    <t xml:space="preserve">Interest rate (s.50)</t>
  </si>
  <si>
    <t xml:space="preserve">Assessment as-of date</t>
  </si>
  <si>
    <t xml:space="preserve">Blue = editable input. State-specific extensions (if any) to be overwritten.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</si>
</sst>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DDEBF7"/>
        <bgColor rgb="FFEDEDED"/>
      </patternFill>
    </fill>
    <fill>
      <patternFill patternType="solid">
        <fgColor rgb="FFFFE699"/>
        <bgColor rgb="FFF8CBA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4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23.8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 t="s">
        <v>29</v>
      </c>
      <c r="B18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6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 customFormat="false" ht="22.35" hidden="false" customHeight="false" outlineLevel="0" collapsed="false">
      <c r="A2" s="6" t="n">
        <v>1</v>
      </c>
      <c r="B2" s="6" t="s">
        <v>37</v>
      </c>
      <c r="C2" s="6" t="s">
        <v>38</v>
      </c>
      <c r="D2" s="7" t="s">
        <v>39</v>
      </c>
      <c r="E2" s="6" t="s">
        <v>40</v>
      </c>
      <c r="F2" s="6" t="s">
        <v>41</v>
      </c>
    </row>
    <row r="3" customFormat="false" ht="15" hidden="false" customHeight="false" outlineLevel="0" collapsed="false">
      <c r="A3" s="6" t="n">
        <v>2</v>
      </c>
      <c r="B3" s="6" t="s">
        <v>37</v>
      </c>
      <c r="C3" s="6" t="s">
        <v>42</v>
      </c>
      <c r="D3" s="8" t="s">
        <v>43</v>
      </c>
      <c r="E3" s="6" t="s">
        <v>44</v>
      </c>
      <c r="F3" s="6" t="s">
        <v>45</v>
      </c>
    </row>
    <row r="4" customFormat="false" ht="15" hidden="false" customHeight="false" outlineLevel="0" collapsed="false">
      <c r="A4" s="6" t="n">
        <v>3</v>
      </c>
      <c r="B4" s="6" t="s">
        <v>37</v>
      </c>
      <c r="C4" s="6" t="s">
        <v>46</v>
      </c>
      <c r="D4" s="7" t="s">
        <v>39</v>
      </c>
      <c r="E4" s="6" t="s">
        <v>47</v>
      </c>
      <c r="F4" s="6" t="s">
        <v>48</v>
      </c>
    </row>
    <row r="5" customFormat="false" ht="32.8" hidden="false" customHeight="false" outlineLevel="0" collapsed="false">
      <c r="A5" s="6" t="n">
        <v>4</v>
      </c>
      <c r="B5" s="6" t="s">
        <v>37</v>
      </c>
      <c r="C5" s="6" t="s">
        <v>49</v>
      </c>
      <c r="D5" s="9" t="s">
        <v>50</v>
      </c>
      <c r="E5" s="6" t="s">
        <v>51</v>
      </c>
      <c r="F5" s="6" t="s">
        <v>52</v>
      </c>
    </row>
    <row r="6" customFormat="false" ht="22.35" hidden="false" customHeight="false" outlineLevel="0" collapsed="false">
      <c r="A6" s="6" t="n">
        <v>5</v>
      </c>
      <c r="B6" s="6" t="s">
        <v>37</v>
      </c>
      <c r="C6" s="6" t="s">
        <v>53</v>
      </c>
      <c r="D6" s="10" t="s">
        <v>54</v>
      </c>
      <c r="E6" s="6" t="s">
        <v>55</v>
      </c>
      <c r="F6" s="6" t="s">
        <v>56</v>
      </c>
    </row>
    <row r="7" customFormat="false" ht="22.35" hidden="false" customHeight="false" outlineLevel="0" collapsed="false">
      <c r="A7" s="6" t="n">
        <v>6</v>
      </c>
      <c r="B7" s="6" t="s">
        <v>57</v>
      </c>
      <c r="C7" s="6" t="s">
        <v>58</v>
      </c>
      <c r="D7" s="8" t="s">
        <v>59</v>
      </c>
      <c r="E7" s="6" t="s">
        <v>60</v>
      </c>
      <c r="F7" s="6" t="s">
        <v>61</v>
      </c>
    </row>
    <row r="8" customFormat="false" ht="22.35" hidden="false" customHeight="false" outlineLevel="0" collapsed="false">
      <c r="A8" s="6" t="n">
        <v>7</v>
      </c>
      <c r="B8" s="6" t="s">
        <v>62</v>
      </c>
      <c r="C8" s="6" t="s">
        <v>63</v>
      </c>
      <c r="D8" s="7" t="s">
        <v>64</v>
      </c>
      <c r="E8" s="6" t="s">
        <v>65</v>
      </c>
      <c r="F8" s="6" t="s">
        <v>66</v>
      </c>
    </row>
    <row r="9" customFormat="false" ht="32.8" hidden="false" customHeight="false" outlineLevel="0" collapsed="false">
      <c r="A9" s="6" t="n">
        <v>8</v>
      </c>
      <c r="B9" s="6" t="s">
        <v>62</v>
      </c>
      <c r="C9" s="6" t="s">
        <v>67</v>
      </c>
      <c r="D9" s="11" t="s">
        <v>68</v>
      </c>
      <c r="E9" s="6" t="s">
        <v>69</v>
      </c>
      <c r="F9" s="6" t="s">
        <v>70</v>
      </c>
    </row>
    <row r="10" customFormat="false" ht="15" hidden="false" customHeight="false" outlineLevel="0" collapsed="false">
      <c r="A10" s="6" t="n">
        <v>9</v>
      </c>
      <c r="B10" s="6" t="s">
        <v>62</v>
      </c>
      <c r="C10" s="6" t="s">
        <v>71</v>
      </c>
      <c r="D10" s="8" t="s">
        <v>59</v>
      </c>
      <c r="E10" s="6" t="s">
        <v>72</v>
      </c>
      <c r="F10" s="6" t="s">
        <v>73</v>
      </c>
    </row>
    <row r="11" customFormat="false" ht="22.35" hidden="false" customHeight="false" outlineLevel="0" collapsed="false">
      <c r="A11" s="6" t="n">
        <v>10</v>
      </c>
      <c r="B11" s="6" t="s">
        <v>74</v>
      </c>
      <c r="C11" s="6" t="s">
        <v>75</v>
      </c>
      <c r="D11" s="11" t="s">
        <v>68</v>
      </c>
      <c r="E11" s="6" t="s">
        <v>76</v>
      </c>
      <c r="F11" s="6" t="s">
        <v>77</v>
      </c>
    </row>
    <row r="12" customFormat="false" ht="22.35" hidden="false" customHeight="false" outlineLevel="0" collapsed="false">
      <c r="A12" s="6" t="n">
        <v>11</v>
      </c>
      <c r="B12" s="6" t="s">
        <v>78</v>
      </c>
      <c r="C12" s="6" t="s">
        <v>79</v>
      </c>
      <c r="D12" s="11" t="s">
        <v>68</v>
      </c>
      <c r="E12" s="6" t="s">
        <v>80</v>
      </c>
      <c r="F12" s="6" t="s">
        <v>81</v>
      </c>
    </row>
    <row r="13" customFormat="false" ht="22.35" hidden="false" customHeight="false" outlineLevel="0" collapsed="false">
      <c r="A13" s="6" t="n">
        <v>12</v>
      </c>
      <c r="B13" s="6" t="s">
        <v>78</v>
      </c>
      <c r="C13" s="6" t="s">
        <v>82</v>
      </c>
      <c r="D13" s="11" t="s">
        <v>68</v>
      </c>
      <c r="E13" s="6" t="s">
        <v>83</v>
      </c>
      <c r="F13" s="6" t="s">
        <v>84</v>
      </c>
    </row>
    <row r="14" customFormat="false" ht="15" hidden="false" customHeight="false" outlineLevel="0" collapsed="false">
      <c r="A14" s="6" t="n">
        <v>13</v>
      </c>
      <c r="B14" s="6" t="s">
        <v>78</v>
      </c>
      <c r="C14" s="6" t="s">
        <v>85</v>
      </c>
      <c r="D14" s="11" t="s">
        <v>68</v>
      </c>
      <c r="E14" s="6" t="s">
        <v>86</v>
      </c>
      <c r="F14" s="6" t="s">
        <v>87</v>
      </c>
    </row>
    <row r="15" customFormat="false" ht="15" hidden="false" customHeight="false" outlineLevel="0" collapsed="false">
      <c r="A15" s="6" t="n">
        <v>14</v>
      </c>
      <c r="B15" s="6" t="s">
        <v>78</v>
      </c>
      <c r="C15" s="6" t="s">
        <v>88</v>
      </c>
      <c r="D15" s="11" t="s">
        <v>68</v>
      </c>
      <c r="E15" s="6" t="s">
        <v>89</v>
      </c>
      <c r="F15" s="6" t="s">
        <v>90</v>
      </c>
    </row>
    <row r="16" customFormat="false" ht="22.35" hidden="false" customHeight="false" outlineLevel="0" collapsed="false">
      <c r="A16" s="6" t="n">
        <v>15</v>
      </c>
      <c r="B16" s="6" t="s">
        <v>78</v>
      </c>
      <c r="C16" s="6" t="s">
        <v>91</v>
      </c>
      <c r="D16" s="11" t="s">
        <v>68</v>
      </c>
      <c r="E16" s="6" t="s">
        <v>92</v>
      </c>
      <c r="F16" s="6" t="s">
        <v>84</v>
      </c>
    </row>
    <row r="17" customFormat="false" ht="15" hidden="false" customHeight="false" outlineLevel="0" collapsed="false">
      <c r="A17" s="6" t="n">
        <v>16</v>
      </c>
      <c r="B17" s="6" t="s">
        <v>93</v>
      </c>
      <c r="C17" s="6" t="s">
        <v>94</v>
      </c>
      <c r="D17" s="10" t="s">
        <v>54</v>
      </c>
      <c r="E17" s="6" t="s">
        <v>95</v>
      </c>
      <c r="F17" s="6" t="s">
        <v>96</v>
      </c>
    </row>
    <row r="18" customFormat="false" ht="15" hidden="false" customHeight="false" outlineLevel="0" collapsed="false">
      <c r="A18" s="6" t="n">
        <v>17</v>
      </c>
      <c r="B18" s="6" t="s">
        <v>97</v>
      </c>
      <c r="C18" s="6" t="s">
        <v>98</v>
      </c>
      <c r="D18" s="10" t="s">
        <v>54</v>
      </c>
      <c r="E18" s="6" t="s">
        <v>99</v>
      </c>
      <c r="F18" s="6" t="s">
        <v>100</v>
      </c>
    </row>
    <row r="19" customFormat="false" ht="15" hidden="false" customHeight="false" outlineLevel="0" collapsed="false">
      <c r="A19" s="6" t="n">
        <v>18</v>
      </c>
      <c r="B19" s="6" t="s">
        <v>101</v>
      </c>
      <c r="C19" s="6" t="s">
        <v>102</v>
      </c>
      <c r="D19" s="7" t="s">
        <v>39</v>
      </c>
      <c r="E19" s="6" t="s">
        <v>103</v>
      </c>
      <c r="F19" s="6" t="s">
        <v>104</v>
      </c>
    </row>
    <row r="20" customFormat="false" ht="15" hidden="false" customHeight="false" outlineLevel="0" collapsed="false">
      <c r="A20" s="6" t="n">
        <v>19</v>
      </c>
      <c r="B20" s="6" t="s">
        <v>105</v>
      </c>
      <c r="C20" s="6" t="s">
        <v>106</v>
      </c>
      <c r="D20" s="7" t="s">
        <v>39</v>
      </c>
      <c r="E20" s="6" t="s">
        <v>107</v>
      </c>
      <c r="F20" s="6" t="s">
        <v>108</v>
      </c>
    </row>
    <row r="21" customFormat="false" ht="15" hidden="false" customHeight="false" outlineLevel="0" collapsed="false">
      <c r="A21" s="6" t="n">
        <v>20</v>
      </c>
      <c r="B21" s="6" t="s">
        <v>105</v>
      </c>
      <c r="C21" s="6" t="s">
        <v>109</v>
      </c>
      <c r="D21" s="10" t="s">
        <v>54</v>
      </c>
      <c r="E21" s="6" t="s">
        <v>110</v>
      </c>
      <c r="F21" s="6" t="s">
        <v>111</v>
      </c>
    </row>
    <row r="22" customFormat="false" ht="15" hidden="false" customHeight="false" outlineLevel="0" collapsed="false">
      <c r="A22" s="6" t="n">
        <v>21</v>
      </c>
      <c r="B22" s="6" t="s">
        <v>112</v>
      </c>
      <c r="C22" s="6" t="s">
        <v>113</v>
      </c>
      <c r="D22" s="7" t="s">
        <v>39</v>
      </c>
      <c r="E22" s="6" t="s">
        <v>114</v>
      </c>
      <c r="F22" s="6" t="s">
        <v>115</v>
      </c>
    </row>
    <row r="23" customFormat="false" ht="15" hidden="false" customHeight="false" outlineLevel="0" collapsed="false">
      <c r="A23" s="6" t="n">
        <v>22</v>
      </c>
      <c r="B23" s="6" t="s">
        <v>57</v>
      </c>
      <c r="C23" s="6" t="s">
        <v>116</v>
      </c>
      <c r="D23" s="10" t="s">
        <v>117</v>
      </c>
      <c r="E23" s="6" t="s">
        <v>118</v>
      </c>
      <c r="F23" s="6" t="s">
        <v>119</v>
      </c>
    </row>
    <row r="25" customFormat="false" ht="15" hidden="false" customHeight="false" outlineLevel="0" collapsed="false">
      <c r="A25" s="1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13" t="s">
        <v>121</v>
      </c>
      <c r="B1" s="13" t="s">
        <v>122</v>
      </c>
      <c r="C1" s="13" t="s">
        <v>123</v>
      </c>
      <c r="D1" s="13" t="s">
        <v>124</v>
      </c>
      <c r="E1" s="13" t="s">
        <v>125</v>
      </c>
      <c r="F1" s="13" t="s">
        <v>126</v>
      </c>
      <c r="G1" s="13" t="s">
        <v>127</v>
      </c>
      <c r="H1" s="13" t="s">
        <v>128</v>
      </c>
      <c r="I1" s="13" t="s">
        <v>129</v>
      </c>
    </row>
    <row r="2" customFormat="false" ht="15" hidden="false" customHeight="false" outlineLevel="0" collapsed="false">
      <c r="A2" s="14" t="s">
        <v>130</v>
      </c>
      <c r="B2" s="14" t="s">
        <v>131</v>
      </c>
      <c r="C2" s="14" t="s">
        <v>132</v>
      </c>
      <c r="D2" s="14" t="s">
        <v>133</v>
      </c>
      <c r="E2" s="14" t="s">
        <v>133</v>
      </c>
      <c r="F2" s="14" t="s">
        <v>133</v>
      </c>
      <c r="G2" s="14" t="s">
        <v>134</v>
      </c>
      <c r="H2" s="14" t="s">
        <v>133</v>
      </c>
      <c r="I2" s="15" t="n">
        <f aca="false">IF(C2="","",IFERROR(SUMPRODUCT((INDEX(Applicability!$E$2:$O$142,0,MATCH(C2,Applicability!$E$1:$O$1,0))="Y")*((Applicability!$D$2:$D$142="")+(Applicability!$D$2:$D$142="Exports")*(D2="Y")+(Applicability!$D$2:$D$142="Imports")*(E2="Y")+(Applicability!$D$2:$D$142="SEZ Supplies")*(F2="Y")+(Applicability!$D$2:$D$142="E-invoice")*(G2="Y")+(Applicability!$D$2:$D$142="Multi-GSTIN")*(H2="Y"))),"Check industry"))</f>
        <v>96</v>
      </c>
    </row>
    <row r="3" customFormat="false" ht="15" hidden="false" customHeight="false" outlineLevel="0" collapsed="false">
      <c r="A3" s="14" t="s">
        <v>135</v>
      </c>
      <c r="B3" s="14" t="s">
        <v>136</v>
      </c>
      <c r="C3" s="14" t="s">
        <v>137</v>
      </c>
      <c r="D3" s="14" t="s">
        <v>133</v>
      </c>
      <c r="E3" s="14" t="s">
        <v>134</v>
      </c>
      <c r="F3" s="14" t="s">
        <v>133</v>
      </c>
      <c r="G3" s="14" t="s">
        <v>133</v>
      </c>
      <c r="H3" s="14" t="s">
        <v>133</v>
      </c>
      <c r="I3" s="15" t="n">
        <f aca="false">IF(C3="","",IFERROR(SUMPRODUCT((INDEX(Applicability!$E$2:$O$142,0,MATCH(C3,Applicability!$E$1:$O$1,0))="Y")*((Applicability!$D$2:$D$142="")+(Applicability!$D$2:$D$142="Exports")*(D3="Y")+(Applicability!$D$2:$D$142="Imports")*(E3="Y")+(Applicability!$D$2:$D$142="SEZ Supplies")*(F3="Y")+(Applicability!$D$2:$D$142="E-invoice")*(G3="Y")+(Applicability!$D$2:$D$142="Multi-GSTIN")*(H3="Y"))),"Check industry"))</f>
        <v>96</v>
      </c>
    </row>
    <row r="4" customFormat="false" ht="15" hidden="false" customHeight="false" outlineLevel="0" collapsed="false">
      <c r="A4" s="14" t="s">
        <v>138</v>
      </c>
      <c r="B4" s="14" t="s">
        <v>139</v>
      </c>
      <c r="C4" s="14" t="s">
        <v>140</v>
      </c>
      <c r="D4" s="14" t="s">
        <v>133</v>
      </c>
      <c r="E4" s="14" t="s">
        <v>133</v>
      </c>
      <c r="F4" s="14" t="s">
        <v>133</v>
      </c>
      <c r="G4" s="14" t="s">
        <v>134</v>
      </c>
      <c r="H4" s="14" t="s">
        <v>134</v>
      </c>
      <c r="I4" s="15" t="n">
        <f aca="false">IF(C4="","",IFERROR(SUMPRODUCT((INDEX(Applicability!$E$2:$O$142,0,MATCH(C4,Applicability!$E$1:$O$1,0))="Y")*((Applicability!$D$2:$D$142="")+(Applicability!$D$2:$D$142="Exports")*(D4="Y")+(Applicability!$D$2:$D$142="Imports")*(E4="Y")+(Applicability!$D$2:$D$142="SEZ Supplies")*(F4="Y")+(Applicability!$D$2:$D$142="E-invoice")*(G4="Y")+(Applicability!$D$2:$D$142="Multi-GSTIN")*(H4="Y"))),"Check industry"))</f>
        <v>93</v>
      </c>
    </row>
    <row r="5" customFormat="false" ht="15" hidden="false" customHeight="false" outlineLevel="0" collapsed="false">
      <c r="A5" s="14" t="s">
        <v>141</v>
      </c>
      <c r="B5" s="14" t="s">
        <v>142</v>
      </c>
      <c r="C5" s="14" t="s">
        <v>143</v>
      </c>
      <c r="D5" s="14" t="s">
        <v>133</v>
      </c>
      <c r="E5" s="14" t="s">
        <v>133</v>
      </c>
      <c r="F5" s="14" t="s">
        <v>133</v>
      </c>
      <c r="G5" s="14" t="s">
        <v>133</v>
      </c>
      <c r="H5" s="14" t="s">
        <v>133</v>
      </c>
      <c r="I5" s="15" t="n">
        <f aca="false">IF(C5="","",IFERROR(SUMPRODUCT((INDEX(Applicability!$E$2:$O$142,0,MATCH(C5,Applicability!$E$1:$O$1,0))="Y")*((Applicability!$D$2:$D$142="")+(Applicability!$D$2:$D$142="Exports")*(D5="Y")+(Applicability!$D$2:$D$142="Imports")*(E5="Y")+(Applicability!$D$2:$D$142="SEZ Supplies")*(F5="Y")+(Applicability!$D$2:$D$142="E-invoice")*(G5="Y")+(Applicability!$D$2:$D$142="Multi-GSTIN")*(H5="Y"))),"Check industry"))</f>
        <v>91</v>
      </c>
    </row>
    <row r="6" customFormat="false" ht="15" hidden="false" customHeight="false" outlineLevel="0" collapsed="false">
      <c r="A6" s="14" t="s">
        <v>144</v>
      </c>
      <c r="B6" s="14" t="s">
        <v>145</v>
      </c>
      <c r="C6" s="14" t="s">
        <v>146</v>
      </c>
      <c r="D6" s="14" t="s">
        <v>134</v>
      </c>
      <c r="E6" s="14" t="s">
        <v>134</v>
      </c>
      <c r="F6" s="14" t="s">
        <v>134</v>
      </c>
      <c r="G6" s="14" t="s">
        <v>134</v>
      </c>
      <c r="H6" s="14" t="s">
        <v>133</v>
      </c>
      <c r="I6" s="15" t="n">
        <f aca="false">IF(C6="","",IFERROR(SUMPRODUCT((INDEX(Applicability!$E$2:$O$142,0,MATCH(C6,Applicability!$E$1:$O$1,0))="Y")*((Applicability!$D$2:$D$142="")+(Applicability!$D$2:$D$142="Exports")*(D6="Y")+(Applicability!$D$2:$D$142="Imports")*(E6="Y")+(Applicability!$D$2:$D$142="SEZ Supplies")*(F6="Y")+(Applicability!$D$2:$D$142="E-invoice")*(G6="Y")+(Applicability!$D$2:$D$142="Multi-GSTIN")*(H6="Y"))),"Check industry"))</f>
        <v>97</v>
      </c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5" t="str">
        <f aca="false">IF(C7="","",IFERROR(SUMPRODUCT((INDEX(Applicability!$E$2:$O$142,0,MATCH(C7,Applicability!$E$1:$O$1,0))="Y")*((Applicability!$D$2:$D$142="")+(Applicability!$D$2:$D$142="Exports")*(D7="Y")+(Applicability!$D$2:$D$142="Imports")*(E7="Y")+(Applicability!$D$2:$D$142="SEZ Supplies")*(F7="Y")+(Applicability!$D$2:$D$142="E-invoice")*(G7="Y")+(Applicability!$D$2:$D$142="Multi-GSTIN")*(H7="Y"))),"Check industry"))</f>
        <v/>
      </c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5" t="str">
        <f aca="false">IF(C8="","",IFERROR(SUMPRODUCT((INDEX(Applicability!$E$2:$O$142,0,MATCH(C8,Applicability!$E$1:$O$1,0))="Y")*((Applicability!$D$2:$D$142="")+(Applicability!$D$2:$D$142="Exports")*(D8="Y")+(Applicability!$D$2:$D$142="Imports")*(E8="Y")+(Applicability!$D$2:$D$142="SEZ Supplies")*(F8="Y")+(Applicability!$D$2:$D$142="E-invoice")*(G8="Y")+(Applicability!$D$2:$D$142="Multi-GSTIN")*(H8="Y"))),"Check industry"))</f>
        <v/>
      </c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5" t="str">
        <f aca="false">IF(C9="","",IFERROR(SUMPRODUCT((INDEX(Applicability!$E$2:$O$142,0,MATCH(C9,Applicability!$E$1:$O$1,0))="Y")*((Applicability!$D$2:$D$142="")+(Applicability!$D$2:$D$142="Exports")*(D9="Y")+(Applicability!$D$2:$D$142="Imports")*(E9="Y")+(Applicability!$D$2:$D$142="SEZ Supplies")*(F9="Y")+(Applicability!$D$2:$D$142="E-invoice")*(G9="Y")+(Applicability!$D$2:$D$142="Multi-GSTIN")*(H9="Y"))),"Check industry"))</f>
        <v/>
      </c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5" t="str">
        <f aca="false">IF(C10="","",IFERROR(SUMPRODUCT((INDEX(Applicability!$E$2:$O$142,0,MATCH(C10,Applicability!$E$1:$O$1,0))="Y")*((Applicability!$D$2:$D$142="")+(Applicability!$D$2:$D$142="Exports")*(D10="Y")+(Applicability!$D$2:$D$142="Imports")*(E10="Y")+(Applicability!$D$2:$D$142="SEZ Supplies")*(F10="Y")+(Applicability!$D$2:$D$142="E-invoice")*(G10="Y")+(Applicability!$D$2:$D$142="Multi-GSTIN")*(H10="Y"))),"Check industry"))</f>
        <v/>
      </c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5" t="str">
        <f aca="false">IF(C11="","",IFERROR(SUMPRODUCT((INDEX(Applicability!$E$2:$O$142,0,MATCH(C11,Applicability!$E$1:$O$1,0))="Y")*((Applicability!$D$2:$D$142="")+(Applicability!$D$2:$D$142="Exports")*(D11="Y")+(Applicability!$D$2:$D$142="Imports")*(E11="Y")+(Applicability!$D$2:$D$142="SEZ Supplies")*(F11="Y")+(Applicability!$D$2:$D$142="E-invoice")*(G11="Y")+(Applicability!$D$2:$D$142="Multi-GSTIN")*(H11="Y"))),"Check industry"))</f>
        <v/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5" t="str">
        <f aca="false">IF(C12="","",IFERROR(SUMPRODUCT((INDEX(Applicability!$E$2:$O$142,0,MATCH(C12,Applicability!$E$1:$O$1,0))="Y")*((Applicability!$D$2:$D$142="")+(Applicability!$D$2:$D$142="Exports")*(D12="Y")+(Applicability!$D$2:$D$142="Imports")*(E12="Y")+(Applicability!$D$2:$D$142="SEZ Supplies")*(F12="Y")+(Applicability!$D$2:$D$142="E-invoice")*(G12="Y")+(Applicability!$D$2:$D$142="Multi-GSTIN")*(H12="Y"))),"Check industry"))</f>
        <v/>
      </c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5" t="str">
        <f aca="false">IF(C13="","",IFERROR(SUMPRODUCT((INDEX(Applicability!$E$2:$O$142,0,MATCH(C13,Applicability!$E$1:$O$1,0))="Y")*((Applicability!$D$2:$D$142="")+(Applicability!$D$2:$D$142="Exports")*(D13="Y")+(Applicability!$D$2:$D$142="Imports")*(E13="Y")+(Applicability!$D$2:$D$142="SEZ Supplies")*(F13="Y")+(Applicability!$D$2:$D$142="E-invoice")*(G13="Y")+(Applicability!$D$2:$D$142="Multi-GSTIN")*(H13="Y"))),"Check industry"))</f>
        <v/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5" t="str">
        <f aca="false">IF(C14="","",IFERROR(SUMPRODUCT((INDEX(Applicability!$E$2:$O$142,0,MATCH(C14,Applicability!$E$1:$O$1,0))="Y")*((Applicability!$D$2:$D$142="")+(Applicability!$D$2:$D$142="Exports")*(D14="Y")+(Applicability!$D$2:$D$142="Imports")*(E14="Y")+(Applicability!$D$2:$D$142="SEZ Supplies")*(F14="Y")+(Applicability!$D$2:$D$142="E-invoice")*(G14="Y")+(Applicability!$D$2:$D$142="Multi-GSTIN")*(H14="Y"))),"Check industry"))</f>
        <v/>
      </c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5" t="str">
        <f aca="false">IF(C15="","",IFERROR(SUMPRODUCT((INDEX(Applicability!$E$2:$O$142,0,MATCH(C15,Applicability!$E$1:$O$1,0))="Y")*((Applicability!$D$2:$D$142="")+(Applicability!$D$2:$D$142="Exports")*(D15="Y")+(Applicability!$D$2:$D$142="Imports")*(E15="Y")+(Applicability!$D$2:$D$142="SEZ Supplies")*(F15="Y")+(Applicability!$D$2:$D$142="E-invoice")*(G15="Y")+(Applicability!$D$2:$D$142="Multi-GSTIN")*(H15="Y"))),"Check industry"))</f>
        <v/>
      </c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5" t="str">
        <f aca="false">IF(C16="","",IFERROR(SUMPRODUCT((INDEX(Applicability!$E$2:$O$142,0,MATCH(C16,Applicability!$E$1:$O$1,0))="Y")*((Applicability!$D$2:$D$142="")+(Applicability!$D$2:$D$142="Exports")*(D16="Y")+(Applicability!$D$2:$D$142="Imports")*(E16="Y")+(Applicability!$D$2:$D$142="SEZ Supplies")*(F16="Y")+(Applicability!$D$2:$D$142="E-invoice")*(G16="Y")+(Applicability!$D$2:$D$142="Multi-GSTIN")*(H16="Y"))),"Check industry"))</f>
        <v/>
      </c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5" t="str">
        <f aca="false">IF(C17="","",IFERROR(SUMPRODUCT((INDEX(Applicability!$E$2:$O$142,0,MATCH(C17,Applicability!$E$1:$O$1,0))="Y")*((Applicability!$D$2:$D$142="")+(Applicability!$D$2:$D$142="Exports")*(D17="Y")+(Applicability!$D$2:$D$142="Imports")*(E17="Y")+(Applicability!$D$2:$D$142="SEZ Supplies")*(F17="Y")+(Applicability!$D$2:$D$142="E-invoice")*(G17="Y")+(Applicability!$D$2:$D$142="Multi-GSTIN")*(H17="Y"))),"Check industry"))</f>
        <v/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5" t="str">
        <f aca="false">IF(C18="","",IFERROR(SUMPRODUCT((INDEX(Applicability!$E$2:$O$142,0,MATCH(C18,Applicability!$E$1:$O$1,0))="Y")*((Applicability!$D$2:$D$142="")+(Applicability!$D$2:$D$142="Exports")*(D18="Y")+(Applicability!$D$2:$D$142="Imports")*(E18="Y")+(Applicability!$D$2:$D$142="SEZ Supplies")*(F18="Y")+(Applicability!$D$2:$D$142="E-invoice")*(G18="Y")+(Applicability!$D$2:$D$142="Multi-GSTIN")*(H18="Y"))),"Check industry"))</f>
        <v/>
      </c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5" t="str">
        <f aca="false">IF(C19="","",IFERROR(SUMPRODUCT((INDEX(Applicability!$E$2:$O$142,0,MATCH(C19,Applicability!$E$1:$O$1,0))="Y")*((Applicability!$D$2:$D$142="")+(Applicability!$D$2:$D$142="Exports")*(D19="Y")+(Applicability!$D$2:$D$142="Imports")*(E19="Y")+(Applicability!$D$2:$D$142="SEZ Supplies")*(F19="Y")+(Applicability!$D$2:$D$142="E-invoice")*(G19="Y")+(Applicability!$D$2:$D$142="Multi-GSTIN")*(H19="Y"))),"Check industry"))</f>
        <v/>
      </c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5" t="str">
        <f aca="false">IF(C20="","",IFERROR(SUMPRODUCT((INDEX(Applicability!$E$2:$O$142,0,MATCH(C20,Applicability!$E$1:$O$1,0))="Y")*((Applicability!$D$2:$D$142="")+(Applicability!$D$2:$D$142="Exports")*(D20="Y")+(Applicability!$D$2:$D$142="Imports")*(E20="Y")+(Applicability!$D$2:$D$142="SEZ Supplies")*(F20="Y")+(Applicability!$D$2:$D$142="E-invoice")*(G20="Y")+(Applicability!$D$2:$D$142="Multi-GSTIN")*(H20="Y"))),"Check industry"))</f>
        <v/>
      </c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5" t="str">
        <f aca="false">IF(C21="","",IFERROR(SUMPRODUCT((INDEX(Applicability!$E$2:$O$142,0,MATCH(C21,Applicability!$E$1:$O$1,0))="Y")*((Applicability!$D$2:$D$142="")+(Applicability!$D$2:$D$142="Exports")*(D21="Y")+(Applicability!$D$2:$D$142="Imports")*(E21="Y")+(Applicability!$D$2:$D$142="SEZ Supplies")*(F21="Y")+(Applicability!$D$2:$D$142="E-invoice")*(G21="Y")+(Applicability!$D$2:$D$142="Multi-GSTIN")*(H21="Y"))),"Check industry"))</f>
        <v/>
      </c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5" t="str">
        <f aca="false">IF(C22="","",IFERROR(SUMPRODUCT((INDEX(Applicability!$E$2:$O$142,0,MATCH(C22,Applicability!$E$1:$O$1,0))="Y")*((Applicability!$D$2:$D$142="")+(Applicability!$D$2:$D$142="Exports")*(D22="Y")+(Applicability!$D$2:$D$142="Imports")*(E22="Y")+(Applicability!$D$2:$D$142="SEZ Supplies")*(F22="Y")+(Applicability!$D$2:$D$142="E-invoice")*(G22="Y")+(Applicability!$D$2:$D$142="Multi-GSTIN")*(H22="Y"))),"Check industry"))</f>
        <v/>
      </c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5" t="str">
        <f aca="false">IF(C23="","",IFERROR(SUMPRODUCT((INDEX(Applicability!$E$2:$O$142,0,MATCH(C23,Applicability!$E$1:$O$1,0))="Y")*((Applicability!$D$2:$D$142="")+(Applicability!$D$2:$D$142="Exports")*(D23="Y")+(Applicability!$D$2:$D$142="Imports")*(E23="Y")+(Applicability!$D$2:$D$142="SEZ Supplies")*(F23="Y")+(Applicability!$D$2:$D$142="E-invoice")*(G23="Y")+(Applicability!$D$2:$D$142="Multi-GSTIN")*(H23="Y"))),"Check industry"))</f>
        <v/>
      </c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5" t="str">
        <f aca="false">IF(C24="","",IFERROR(SUMPRODUCT((INDEX(Applicability!$E$2:$O$142,0,MATCH(C24,Applicability!$E$1:$O$1,0))="Y")*((Applicability!$D$2:$D$142="")+(Applicability!$D$2:$D$142="Exports")*(D24="Y")+(Applicability!$D$2:$D$142="Imports")*(E24="Y")+(Applicability!$D$2:$D$142="SEZ Supplies")*(F24="Y")+(Applicability!$D$2:$D$142="E-invoice")*(G24="Y")+(Applicability!$D$2:$D$142="Multi-GSTIN")*(H24="Y"))),"Check industry"))</f>
        <v/>
      </c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5" t="str">
        <f aca="false">IF(C25="","",IFERROR(SUMPRODUCT((INDEX(Applicability!$E$2:$O$142,0,MATCH(C25,Applicability!$E$1:$O$1,0))="Y")*((Applicability!$D$2:$D$142="")+(Applicability!$D$2:$D$142="Exports")*(D25="Y")+(Applicability!$D$2:$D$142="Imports")*(E25="Y")+(Applicability!$D$2:$D$142="SEZ Supplies")*(F25="Y")+(Applicability!$D$2:$D$142="E-invoice")*(G25="Y")+(Applicability!$D$2:$D$142="Multi-GSTIN")*(H25="Y"))),"Check industry"))</f>
        <v/>
      </c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5" t="str">
        <f aca="false">IF(C26="","",IFERROR(SUMPRODUCT((INDEX(Applicability!$E$2:$O$142,0,MATCH(C26,Applicability!$E$1:$O$1,0))="Y")*((Applicability!$D$2:$D$142="")+(Applicability!$D$2:$D$142="Exports")*(D26="Y")+(Applicability!$D$2:$D$142="Imports")*(E26="Y")+(Applicability!$D$2:$D$142="SEZ Supplies")*(F26="Y")+(Applicability!$D$2:$D$142="E-invoice")*(G26="Y")+(Applicability!$D$2:$D$142="Multi-GSTIN")*(H26="Y"))),"Check industry"))</f>
        <v/>
      </c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5" t="str">
        <f aca="false">IF(C27="","",IFERROR(SUMPRODUCT((INDEX(Applicability!$E$2:$O$142,0,MATCH(C27,Applicability!$E$1:$O$1,0))="Y")*((Applicability!$D$2:$D$142="")+(Applicability!$D$2:$D$142="Exports")*(D27="Y")+(Applicability!$D$2:$D$142="Imports")*(E27="Y")+(Applicability!$D$2:$D$142="SEZ Supplies")*(F27="Y")+(Applicability!$D$2:$D$142="E-invoice")*(G27="Y")+(Applicability!$D$2:$D$142="Multi-GSTIN")*(H27="Y"))),"Check industry"))</f>
        <v/>
      </c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5" t="str">
        <f aca="false">IF(C28="","",IFERROR(SUMPRODUCT((INDEX(Applicability!$E$2:$O$142,0,MATCH(C28,Applicability!$E$1:$O$1,0))="Y")*((Applicability!$D$2:$D$142="")+(Applicability!$D$2:$D$142="Exports")*(D28="Y")+(Applicability!$D$2:$D$142="Imports")*(E28="Y")+(Applicability!$D$2:$D$142="SEZ Supplies")*(F28="Y")+(Applicability!$D$2:$D$142="E-invoice")*(G28="Y")+(Applicability!$D$2:$D$142="Multi-GSTIN")*(H28="Y"))),"Check industry"))</f>
        <v/>
      </c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5" t="str">
        <f aca="false">IF(C29="","",IFERROR(SUMPRODUCT((INDEX(Applicability!$E$2:$O$142,0,MATCH(C29,Applicability!$E$1:$O$1,0))="Y")*((Applicability!$D$2:$D$142="")+(Applicability!$D$2:$D$142="Exports")*(D29="Y")+(Applicability!$D$2:$D$142="Imports")*(E29="Y")+(Applicability!$D$2:$D$142="SEZ Supplies")*(F29="Y")+(Applicability!$D$2:$D$142="E-invoice")*(G29="Y")+(Applicability!$D$2:$D$142="Multi-GSTIN")*(H29="Y"))),"Check industry"))</f>
        <v/>
      </c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5" t="str">
        <f aca="false">IF(C30="","",IFERROR(SUMPRODUCT((INDEX(Applicability!$E$2:$O$142,0,MATCH(C30,Applicability!$E$1:$O$1,0))="Y")*((Applicability!$D$2:$D$142="")+(Applicability!$D$2:$D$142="Exports")*(D30="Y")+(Applicability!$D$2:$D$142="Imports")*(E30="Y")+(Applicability!$D$2:$D$142="SEZ Supplies")*(F30="Y")+(Applicability!$D$2:$D$142="E-invoice")*(G30="Y")+(Applicability!$D$2:$D$142="Multi-GSTIN")*(H30="Y"))),"Check industry"))</f>
        <v/>
      </c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5" t="str">
        <f aca="false">IF(C31="","",IFERROR(SUMPRODUCT((INDEX(Applicability!$E$2:$O$142,0,MATCH(C31,Applicability!$E$1:$O$1,0))="Y")*((Applicability!$D$2:$D$142="")+(Applicability!$D$2:$D$142="Exports")*(D31="Y")+(Applicability!$D$2:$D$142="Imports")*(E31="Y")+(Applicability!$D$2:$D$142="SEZ Supplies")*(F31="Y")+(Applicability!$D$2:$D$142="E-invoice")*(G31="Y")+(Applicability!$D$2:$D$142="Multi-GSTIN")*(H31="Y"))),"Check industry"))</f>
        <v/>
      </c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5" t="str">
        <f aca="false">IF(C32="","",IFERROR(SUMPRODUCT((INDEX(Applicability!$E$2:$O$142,0,MATCH(C32,Applicability!$E$1:$O$1,0))="Y")*((Applicability!$D$2:$D$142="")+(Applicability!$D$2:$D$142="Exports")*(D32="Y")+(Applicability!$D$2:$D$142="Imports")*(E32="Y")+(Applicability!$D$2:$D$142="SEZ Supplies")*(F32="Y")+(Applicability!$D$2:$D$142="E-invoice")*(G32="Y")+(Applicability!$D$2:$D$142="Multi-GSTIN")*(H32="Y"))),"Check industry"))</f>
        <v/>
      </c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5" t="str">
        <f aca="false">IF(C33="","",IFERROR(SUMPRODUCT((INDEX(Applicability!$E$2:$O$142,0,MATCH(C33,Applicability!$E$1:$O$1,0))="Y")*((Applicability!$D$2:$D$142="")+(Applicability!$D$2:$D$142="Exports")*(D33="Y")+(Applicability!$D$2:$D$142="Imports")*(E33="Y")+(Applicability!$D$2:$D$142="SEZ Supplies")*(F33="Y")+(Applicability!$D$2:$D$142="E-invoice")*(G33="Y")+(Applicability!$D$2:$D$142="Multi-GSTIN")*(H33="Y"))),"Check industry"))</f>
        <v/>
      </c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5" t="str">
        <f aca="false">IF(C34="","",IFERROR(SUMPRODUCT((INDEX(Applicability!$E$2:$O$142,0,MATCH(C34,Applicability!$E$1:$O$1,0))="Y")*((Applicability!$D$2:$D$142="")+(Applicability!$D$2:$D$142="Exports")*(D34="Y")+(Applicability!$D$2:$D$142="Imports")*(E34="Y")+(Applicability!$D$2:$D$142="SEZ Supplies")*(F34="Y")+(Applicability!$D$2:$D$142="E-invoice")*(G34="Y")+(Applicability!$D$2:$D$142="Multi-GSTIN")*(H34="Y"))),"Check industry"))</f>
        <v/>
      </c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5" t="str">
        <f aca="false">IF(C35="","",IFERROR(SUMPRODUCT((INDEX(Applicability!$E$2:$O$142,0,MATCH(C35,Applicability!$E$1:$O$1,0))="Y")*((Applicability!$D$2:$D$142="")+(Applicability!$D$2:$D$142="Exports")*(D35="Y")+(Applicability!$D$2:$D$142="Imports")*(E35="Y")+(Applicability!$D$2:$D$142="SEZ Supplies")*(F35="Y")+(Applicability!$D$2:$D$142="E-invoice")*(G35="Y")+(Applicability!$D$2:$D$142="Multi-GSTIN")*(H35="Y"))),"Check industry"))</f>
        <v/>
      </c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5" t="str">
        <f aca="false">IF(C36="","",IFERROR(SUMPRODUCT((INDEX(Applicability!$E$2:$O$142,0,MATCH(C36,Applicability!$E$1:$O$1,0))="Y")*((Applicability!$D$2:$D$142="")+(Applicability!$D$2:$D$142="Exports")*(D36="Y")+(Applicability!$D$2:$D$142="Imports")*(E36="Y")+(Applicability!$D$2:$D$142="SEZ Supplies")*(F36="Y")+(Applicability!$D$2:$D$142="E-invoice")*(G36="Y")+(Applicability!$D$2:$D$142="Multi-GSTIN")*(H36="Y"))),"Check industry"))</f>
        <v/>
      </c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5" t="str">
        <f aca="false">IF(C37="","",IFERROR(SUMPRODUCT((INDEX(Applicability!$E$2:$O$142,0,MATCH(C37,Applicability!$E$1:$O$1,0))="Y")*((Applicability!$D$2:$D$142="")+(Applicability!$D$2:$D$142="Exports")*(D37="Y")+(Applicability!$D$2:$D$142="Imports")*(E37="Y")+(Applicability!$D$2:$D$142="SEZ Supplies")*(F37="Y")+(Applicability!$D$2:$D$142="E-invoice")*(G37="Y")+(Applicability!$D$2:$D$142="Multi-GSTIN")*(H37="Y"))),"Check industry"))</f>
        <v/>
      </c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5" t="str">
        <f aca="false">IF(C38="","",IFERROR(SUMPRODUCT((INDEX(Applicability!$E$2:$O$142,0,MATCH(C38,Applicability!$E$1:$O$1,0))="Y")*((Applicability!$D$2:$D$142="")+(Applicability!$D$2:$D$142="Exports")*(D38="Y")+(Applicability!$D$2:$D$142="Imports")*(E38="Y")+(Applicability!$D$2:$D$142="SEZ Supplies")*(F38="Y")+(Applicability!$D$2:$D$142="E-invoice")*(G38="Y")+(Applicability!$D$2:$D$142="Multi-GSTIN")*(H38="Y"))),"Check industry"))</f>
        <v/>
      </c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5" t="str">
        <f aca="false">IF(C39="","",IFERROR(SUMPRODUCT((INDEX(Applicability!$E$2:$O$142,0,MATCH(C39,Applicability!$E$1:$O$1,0))="Y")*((Applicability!$D$2:$D$142="")+(Applicability!$D$2:$D$142="Exports")*(D39="Y")+(Applicability!$D$2:$D$142="Imports")*(E39="Y")+(Applicability!$D$2:$D$142="SEZ Supplies")*(F39="Y")+(Applicability!$D$2:$D$142="E-invoice")*(G39="Y")+(Applicability!$D$2:$D$142="Multi-GSTIN")*(H39="Y"))),"Check industry"))</f>
        <v/>
      </c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5" t="str">
        <f aca="false">IF(C40="","",IFERROR(SUMPRODUCT((INDEX(Applicability!$E$2:$O$142,0,MATCH(C40,Applicability!$E$1:$O$1,0))="Y")*((Applicability!$D$2:$D$142="")+(Applicability!$D$2:$D$142="Exports")*(D40="Y")+(Applicability!$D$2:$D$142="Imports")*(E40="Y")+(Applicability!$D$2:$D$142="SEZ Supplies")*(F40="Y")+(Applicability!$D$2:$D$142="E-invoice")*(G40="Y")+(Applicability!$D$2:$D$142="Multi-GSTIN")*(H40="Y"))),"Check industry"))</f>
        <v/>
      </c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5" t="str">
        <f aca="false">IF(C41="","",IFERROR(SUMPRODUCT((INDEX(Applicability!$E$2:$O$142,0,MATCH(C41,Applicability!$E$1:$O$1,0))="Y")*((Applicability!$D$2:$D$142="")+(Applicability!$D$2:$D$142="Exports")*(D41="Y")+(Applicability!$D$2:$D$142="Imports")*(E41="Y")+(Applicability!$D$2:$D$142="SEZ Supplies")*(F41="Y")+(Applicability!$D$2:$D$142="E-invoice")*(G41="Y")+(Applicability!$D$2:$D$142="Multi-GSTIN")*(H41="Y"))),"Check industry"))</f>
        <v/>
      </c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5" t="str">
        <f aca="false">IF(C42="","",IFERROR(SUMPRODUCT((INDEX(Applicability!$E$2:$O$142,0,MATCH(C42,Applicability!$E$1:$O$1,0))="Y")*((Applicability!$D$2:$D$142="")+(Applicability!$D$2:$D$142="Exports")*(D42="Y")+(Applicability!$D$2:$D$142="Imports")*(E42="Y")+(Applicability!$D$2:$D$142="SEZ Supplies")*(F42="Y")+(Applicability!$D$2:$D$142="E-invoice")*(G42="Y")+(Applicability!$D$2:$D$142="Multi-GSTIN")*(H42="Y"))),"Check industry"))</f>
        <v/>
      </c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5" t="str">
        <f aca="false">IF(C43="","",IFERROR(SUMPRODUCT((INDEX(Applicability!$E$2:$O$142,0,MATCH(C43,Applicability!$E$1:$O$1,0))="Y")*((Applicability!$D$2:$D$142="")+(Applicability!$D$2:$D$142="Exports")*(D43="Y")+(Applicability!$D$2:$D$142="Imports")*(E43="Y")+(Applicability!$D$2:$D$142="SEZ Supplies")*(F43="Y")+(Applicability!$D$2:$D$142="E-invoice")*(G43="Y")+(Applicability!$D$2:$D$142="Multi-GSTIN")*(H43="Y"))),"Check industry"))</f>
        <v/>
      </c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5" t="str">
        <f aca="false">IF(C44="","",IFERROR(SUMPRODUCT((INDEX(Applicability!$E$2:$O$142,0,MATCH(C44,Applicability!$E$1:$O$1,0))="Y")*((Applicability!$D$2:$D$142="")+(Applicability!$D$2:$D$142="Exports")*(D44="Y")+(Applicability!$D$2:$D$142="Imports")*(E44="Y")+(Applicability!$D$2:$D$142="SEZ Supplies")*(F44="Y")+(Applicability!$D$2:$D$142="E-invoice")*(G44="Y")+(Applicability!$D$2:$D$142="Multi-GSTIN")*(H44="Y"))),"Check industry"))</f>
        <v/>
      </c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5" t="str">
        <f aca="false">IF(C45="","",IFERROR(SUMPRODUCT((INDEX(Applicability!$E$2:$O$142,0,MATCH(C45,Applicability!$E$1:$O$1,0))="Y")*((Applicability!$D$2:$D$142="")+(Applicability!$D$2:$D$142="Exports")*(D45="Y")+(Applicability!$D$2:$D$142="Imports")*(E45="Y")+(Applicability!$D$2:$D$142="SEZ Supplies")*(F45="Y")+(Applicability!$D$2:$D$142="E-invoice")*(G45="Y")+(Applicability!$D$2:$D$142="Multi-GSTIN")*(H45="Y"))),"Check industry"))</f>
        <v/>
      </c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5" t="str">
        <f aca="false">IF(C46="","",IFERROR(SUMPRODUCT((INDEX(Applicability!$E$2:$O$142,0,MATCH(C46,Applicability!$E$1:$O$1,0))="Y")*((Applicability!$D$2:$D$142="")+(Applicability!$D$2:$D$142="Exports")*(D46="Y")+(Applicability!$D$2:$D$142="Imports")*(E46="Y")+(Applicability!$D$2:$D$142="SEZ Supplies")*(F46="Y")+(Applicability!$D$2:$D$142="E-invoice")*(G46="Y")+(Applicability!$D$2:$D$142="Multi-GSTIN")*(H46="Y"))),"Check industry"))</f>
        <v/>
      </c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5" t="str">
        <f aca="false">IF(C47="","",IFERROR(SUMPRODUCT((INDEX(Applicability!$E$2:$O$142,0,MATCH(C47,Applicability!$E$1:$O$1,0))="Y")*((Applicability!$D$2:$D$142="")+(Applicability!$D$2:$D$142="Exports")*(D47="Y")+(Applicability!$D$2:$D$142="Imports")*(E47="Y")+(Applicability!$D$2:$D$142="SEZ Supplies")*(F47="Y")+(Applicability!$D$2:$D$142="E-invoice")*(G47="Y")+(Applicability!$D$2:$D$142="Multi-GSTIN")*(H47="Y"))),"Check industry"))</f>
        <v/>
      </c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5" t="str">
        <f aca="false">IF(C48="","",IFERROR(SUMPRODUCT((INDEX(Applicability!$E$2:$O$142,0,MATCH(C48,Applicability!$E$1:$O$1,0))="Y")*((Applicability!$D$2:$D$142="")+(Applicability!$D$2:$D$142="Exports")*(D48="Y")+(Applicability!$D$2:$D$142="Imports")*(E48="Y")+(Applicability!$D$2:$D$142="SEZ Supplies")*(F48="Y")+(Applicability!$D$2:$D$142="E-invoice")*(G48="Y")+(Applicability!$D$2:$D$142="Multi-GSTIN")*(H48="Y"))),"Check industry"))</f>
        <v/>
      </c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5" t="str">
        <f aca="false">IF(C49="","",IFERROR(SUMPRODUCT((INDEX(Applicability!$E$2:$O$142,0,MATCH(C49,Applicability!$E$1:$O$1,0))="Y")*((Applicability!$D$2:$D$142="")+(Applicability!$D$2:$D$142="Exports")*(D49="Y")+(Applicability!$D$2:$D$142="Imports")*(E49="Y")+(Applicability!$D$2:$D$142="SEZ Supplies")*(F49="Y")+(Applicability!$D$2:$D$142="E-invoice")*(G49="Y")+(Applicability!$D$2:$D$142="Multi-GSTIN")*(H49="Y"))),"Check industry"))</f>
        <v/>
      </c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5" t="str">
        <f aca="false">IF(C50="","",IFERROR(SUMPRODUCT((INDEX(Applicability!$E$2:$O$142,0,MATCH(C50,Applicability!$E$1:$O$1,0))="Y")*((Applicability!$D$2:$D$142="")+(Applicability!$D$2:$D$142="Exports")*(D50="Y")+(Applicability!$D$2:$D$142="Imports")*(E50="Y")+(Applicability!$D$2:$D$142="SEZ Supplies")*(F50="Y")+(Applicability!$D$2:$D$142="E-invoice")*(G50="Y")+(Applicability!$D$2:$D$142="Multi-GSTIN")*(H50="Y"))),"Check industry"))</f>
        <v/>
      </c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5" t="str">
        <f aca="false">IF(C51="","",IFERROR(SUMPRODUCT((INDEX(Applicability!$E$2:$O$142,0,MATCH(C51,Applicability!$E$1:$O$1,0))="Y")*((Applicability!$D$2:$D$142="")+(Applicability!$D$2:$D$142="Exports")*(D51="Y")+(Applicability!$D$2:$D$142="Imports")*(E51="Y")+(Applicability!$D$2:$D$142="SEZ Supplies")*(F51="Y")+(Applicability!$D$2:$D$142="E-invoice")*(G51="Y")+(Applicability!$D$2:$D$142="Multi-GSTIN")*(H51="Y"))),"Check industry"))</f>
        <v/>
      </c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5" t="str">
        <f aca="false">IF(C52="","",IFERROR(SUMPRODUCT((INDEX(Applicability!$E$2:$O$142,0,MATCH(C52,Applicability!$E$1:$O$1,0))="Y")*((Applicability!$D$2:$D$142="")+(Applicability!$D$2:$D$142="Exports")*(D52="Y")+(Applicability!$D$2:$D$142="Imports")*(E52="Y")+(Applicability!$D$2:$D$142="SEZ Supplies")*(F52="Y")+(Applicability!$D$2:$D$142="E-invoice")*(G52="Y")+(Applicability!$D$2:$D$142="Multi-GSTIN")*(H52="Y"))),"Check industry"))</f>
        <v/>
      </c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5" t="str">
        <f aca="false">IF(C53="","",IFERROR(SUMPRODUCT((INDEX(Applicability!$E$2:$O$142,0,MATCH(C53,Applicability!$E$1:$O$1,0))="Y")*((Applicability!$D$2:$D$142="")+(Applicability!$D$2:$D$142="Exports")*(D53="Y")+(Applicability!$D$2:$D$142="Imports")*(E53="Y")+(Applicability!$D$2:$D$142="SEZ Supplies")*(F53="Y")+(Applicability!$D$2:$D$142="E-invoice")*(G53="Y")+(Applicability!$D$2:$D$142="Multi-GSTIN")*(H53="Y"))),"Check industry"))</f>
        <v/>
      </c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5" t="str">
        <f aca="false">IF(C54="","",IFERROR(SUMPRODUCT((INDEX(Applicability!$E$2:$O$142,0,MATCH(C54,Applicability!$E$1:$O$1,0))="Y")*((Applicability!$D$2:$D$142="")+(Applicability!$D$2:$D$142="Exports")*(D54="Y")+(Applicability!$D$2:$D$142="Imports")*(E54="Y")+(Applicability!$D$2:$D$142="SEZ Supplies")*(F54="Y")+(Applicability!$D$2:$D$142="E-invoice")*(G54="Y")+(Applicability!$D$2:$D$142="Multi-GSTIN")*(H54="Y"))),"Check industry"))</f>
        <v/>
      </c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5" t="str">
        <f aca="false">IF(C55="","",IFERROR(SUMPRODUCT((INDEX(Applicability!$E$2:$O$142,0,MATCH(C55,Applicability!$E$1:$O$1,0))="Y")*((Applicability!$D$2:$D$142="")+(Applicability!$D$2:$D$142="Exports")*(D55="Y")+(Applicability!$D$2:$D$142="Imports")*(E55="Y")+(Applicability!$D$2:$D$142="SEZ Supplies")*(F55="Y")+(Applicability!$D$2:$D$142="E-invoice")*(G55="Y")+(Applicability!$D$2:$D$142="Multi-GSTIN")*(H55="Y"))),"Check industry"))</f>
        <v/>
      </c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5" t="str">
        <f aca="false">IF(C56="","",IFERROR(SUMPRODUCT((INDEX(Applicability!$E$2:$O$142,0,MATCH(C56,Applicability!$E$1:$O$1,0))="Y")*((Applicability!$D$2:$D$142="")+(Applicability!$D$2:$D$142="Exports")*(D56="Y")+(Applicability!$D$2:$D$142="Imports")*(E56="Y")+(Applicability!$D$2:$D$142="SEZ Supplies")*(F56="Y")+(Applicability!$D$2:$D$142="E-invoice")*(G56="Y")+(Applicability!$D$2:$D$142="Multi-GSTIN")*(H56="Y"))),"Check industry"))</f>
        <v/>
      </c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5" t="str">
        <f aca="false">IF(C57="","",IFERROR(SUMPRODUCT((INDEX(Applicability!$E$2:$O$142,0,MATCH(C57,Applicability!$E$1:$O$1,0))="Y")*((Applicability!$D$2:$D$142="")+(Applicability!$D$2:$D$142="Exports")*(D57="Y")+(Applicability!$D$2:$D$142="Imports")*(E57="Y")+(Applicability!$D$2:$D$142="SEZ Supplies")*(F57="Y")+(Applicability!$D$2:$D$142="E-invoice")*(G57="Y")+(Applicability!$D$2:$D$142="Multi-GSTIN")*(H57="Y"))),"Check industry"))</f>
        <v/>
      </c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5" t="str">
        <f aca="false">IF(C58="","",IFERROR(SUMPRODUCT((INDEX(Applicability!$E$2:$O$142,0,MATCH(C58,Applicability!$E$1:$O$1,0))="Y")*((Applicability!$D$2:$D$142="")+(Applicability!$D$2:$D$142="Exports")*(D58="Y")+(Applicability!$D$2:$D$142="Imports")*(E58="Y")+(Applicability!$D$2:$D$142="SEZ Supplies")*(F58="Y")+(Applicability!$D$2:$D$142="E-invoice")*(G58="Y")+(Applicability!$D$2:$D$142="Multi-GSTIN")*(H58="Y"))),"Check industry"))</f>
        <v/>
      </c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5" t="str">
        <f aca="false">IF(C59="","",IFERROR(SUMPRODUCT((INDEX(Applicability!$E$2:$O$142,0,MATCH(C59,Applicability!$E$1:$O$1,0))="Y")*((Applicability!$D$2:$D$142="")+(Applicability!$D$2:$D$142="Exports")*(D59="Y")+(Applicability!$D$2:$D$142="Imports")*(E59="Y")+(Applicability!$D$2:$D$142="SEZ Supplies")*(F59="Y")+(Applicability!$D$2:$D$142="E-invoice")*(G59="Y")+(Applicability!$D$2:$D$142="Multi-GSTIN")*(H59="Y"))),"Check industry"))</f>
        <v/>
      </c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5" t="str">
        <f aca="false">IF(C60="","",IFERROR(SUMPRODUCT((INDEX(Applicability!$E$2:$O$142,0,MATCH(C60,Applicability!$E$1:$O$1,0))="Y")*((Applicability!$D$2:$D$142="")+(Applicability!$D$2:$D$142="Exports")*(D60="Y")+(Applicability!$D$2:$D$142="Imports")*(E60="Y")+(Applicability!$D$2:$D$142="SEZ Supplies")*(F60="Y")+(Applicability!$D$2:$D$142="E-invoice")*(G60="Y")+(Applicability!$D$2:$D$142="Multi-GSTIN")*(H60="Y"))),"Check industry"))</f>
        <v/>
      </c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5" t="str">
        <f aca="false">IF(C61="","",IFERROR(SUMPRODUCT((INDEX(Applicability!$E$2:$O$142,0,MATCH(C61,Applicability!$E$1:$O$1,0))="Y")*((Applicability!$D$2:$D$142="")+(Applicability!$D$2:$D$142="Exports")*(D61="Y")+(Applicability!$D$2:$D$142="Imports")*(E61="Y")+(Applicability!$D$2:$D$142="SEZ Supplies")*(F61="Y")+(Applicability!$D$2:$D$142="E-invoice")*(G61="Y")+(Applicability!$D$2:$D$142="Multi-GSTIN")*(H61="Y"))),"Check industry"))</f>
        <v/>
      </c>
    </row>
  </sheetData>
  <dataValidations count="2">
    <dataValidation allowBlank="true" errorStyle="stop" operator="between" showDropDown="false" showErrorMessage="false" showInputMessage="false" sqref="C2:C61" type="list">
      <formula1>"Real Estate Developer,Works Contractor,Manufacturer,Trader / Retailer,Service Provider,Exporter,Bank / NBFC / Co-op Bank,Hotel / Restaurant,GTA / Logistics,E-commerce Seller,Education / Charitable / Healthcare"</formula1>
      <formula2>0</formula2>
    </dataValidation>
    <dataValidation allowBlank="true" errorStyle="stop" operator="between" showDropDown="false" showErrorMessage="false" showInputMessage="false" sqref="D2:H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6" t="s">
        <v>147</v>
      </c>
      <c r="B1" s="17" t="s">
        <v>130</v>
      </c>
      <c r="D1" s="12" t="s">
        <v>148</v>
      </c>
    </row>
    <row r="2" customFormat="false" ht="15" hidden="false" customHeight="false" outlineLevel="0" collapsed="false">
      <c r="A2" s="16" t="s">
        <v>123</v>
      </c>
      <c r="B2" s="16" t="str">
        <f aca="false">IFERROR(INDEX('Client Master'!$C$2:$C$61,MATCH($B$1,'Client Master'!$A$2:$A$61,0)),"")</f>
        <v>Real Estate Developer</v>
      </c>
    </row>
    <row r="3" customFormat="false" ht="15" hidden="false" customHeight="false" outlineLevel="0" collapsed="false">
      <c r="A3" s="16" t="s">
        <v>149</v>
      </c>
      <c r="B3" s="18" t="s">
        <v>124</v>
      </c>
      <c r="C3" s="18" t="s">
        <v>125</v>
      </c>
      <c r="D3" s="18" t="s">
        <v>126</v>
      </c>
      <c r="E3" s="18" t="s">
        <v>127</v>
      </c>
      <c r="F3" s="18" t="s">
        <v>128</v>
      </c>
    </row>
    <row r="4" customFormat="false" ht="15" hidden="false" customHeight="false" outlineLevel="0" collapsed="false">
      <c r="B4" s="19" t="str">
        <f aca="false">IFERROR(INDEX('Client Master'!$D$2:$D$61,MATCH($B$1,'Client Master'!$A$2:$A$61,0)),"N")</f>
        <v>N</v>
      </c>
      <c r="C4" s="19" t="str">
        <f aca="false">IFERROR(INDEX('Client Master'!$E$2:$E$61,MATCH($B$1,'Client Master'!$A$2:$A$61,0)),"N")</f>
        <v>N</v>
      </c>
      <c r="D4" s="19" t="str">
        <f aca="false">IFERROR(INDEX('Client Master'!$F$2:$F$61,MATCH($B$1,'Client Master'!$A$2:$A$61,0)),"N")</f>
        <v>N</v>
      </c>
      <c r="E4" s="19" t="str">
        <f aca="false">IFERROR(INDEX('Client Master'!$G$2:$G$61,MATCH($B$1,'Client Master'!$A$2:$A$61,0)),"N")</f>
        <v>Y</v>
      </c>
      <c r="F4" s="19" t="str">
        <f aca="false">IFERROR(INDEX('Client Master'!$H$2:$H$61,MATCH($B$1,'Client Master'!$A$2:$A$61,0)),"N")</f>
        <v>N</v>
      </c>
    </row>
    <row r="5" customFormat="false" ht="15" hidden="false" customHeight="false" outlineLevel="0" collapsed="false">
      <c r="A5" s="16" t="s">
        <v>150</v>
      </c>
      <c r="B5" s="16" t="n">
        <f aca="false">SUM(AA8:AA148)</f>
        <v>96</v>
      </c>
      <c r="Z5" s="20" t="n">
        <f aca="false">IFERROR(MATCH($B$2,Applicability!$E$1:$O$1,0),0)</f>
        <v>1</v>
      </c>
    </row>
    <row r="7" customFormat="false" ht="15" hidden="false" customHeight="false" outlineLevel="0" collapsed="false">
      <c r="A7" s="21" t="s">
        <v>151</v>
      </c>
      <c r="B7" s="21" t="s">
        <v>152</v>
      </c>
      <c r="C7" s="21" t="s">
        <v>153</v>
      </c>
      <c r="D7" s="21" t="s">
        <v>154</v>
      </c>
      <c r="E7" s="21" t="s">
        <v>155</v>
      </c>
      <c r="F7" s="21" t="s">
        <v>156</v>
      </c>
      <c r="G7" s="21" t="s">
        <v>157</v>
      </c>
      <c r="H7" s="21" t="s">
        <v>23</v>
      </c>
      <c r="I7" s="21" t="s">
        <v>158</v>
      </c>
      <c r="Z7" s="20" t="s">
        <v>159</v>
      </c>
      <c r="AA7" s="20" t="s">
        <v>160</v>
      </c>
      <c r="AB7" s="20" t="s">
        <v>161</v>
      </c>
    </row>
    <row r="8" customFormat="false" ht="22.35" hidden="false" customHeight="false" outlineLevel="0" collapsed="false">
      <c r="A8" s="6" t="n">
        <f aca="false">IF(1&gt;$B$5,"",1)</f>
        <v>1</v>
      </c>
      <c r="B8" s="6" t="str">
        <f aca="false">IF(A8="","",INDEX($Z$8:$Z$148,MATCH(A8,$AB$8:$AB$148,0)))</f>
        <v>A-01</v>
      </c>
      <c r="C8" s="6" t="str">
        <f aca="false">IF(B8="","",INDEX('Rule Matrix'!$B$2:$B$142,MATCH(B8,'Rule Matrix'!$A$2:$A$142,0)))</f>
        <v>A. Data Integrity</v>
      </c>
      <c r="D8" s="6" t="str">
        <f aca="false">IF(B8="","",INDEX('Rule Matrix'!$C$2:$C$142,MATCH(B8,'Rule Matrix'!$A$2:$A$142,0)))</f>
        <v>GSTIN master validation</v>
      </c>
      <c r="E8" s="6" t="str">
        <f aca="false">IF(B8="","",INDEX('Rule Matrix'!$D$2:$D$142,MATCH(B8,'Rule Matrix'!$A$2:$A$142,0)))</f>
        <v>Rule 10A/21A</v>
      </c>
      <c r="F8" s="6" t="str">
        <f aca="false">IF(B8="","",INDEX('Rule Matrix'!$F$2:$F$142,MATCH(B8,'Rule Matrix'!$A$2:$A$142,0)))</f>
        <v>Check each vendor/customer GSTIN active on invoice date; flag cancelled (incl. retrospective), suspended, composition</v>
      </c>
      <c r="G8" s="6" t="str">
        <f aca="false">IF(B8="","",INDEX('Rule Matrix'!$G$2:$G$142,MATCH(B8,'Rule Matrix'!$A$2:$A$142,0)))</f>
        <v>Any mismatch</v>
      </c>
      <c r="H8" s="6" t="str">
        <f aca="false">IF(B8="","",INDEX('Rule Matrix'!$H$2:$H$142,MATCH(B8,'Rule Matrix'!$A$2:$A$142,0)))</f>
        <v>High</v>
      </c>
      <c r="I8" s="6" t="str">
        <f aca="false">IF(B8="","",INDEX('Rule Matrix'!$J$2:$J$142,MATCH(B8,'Rule Matrix'!$A$2:$A$142,0)))</f>
        <v>Reverse ITC; obtain vendor clarification</v>
      </c>
      <c r="Z8" s="22" t="str">
        <f aca="false">Applicability!A2</f>
        <v>A-01</v>
      </c>
      <c r="AA8" s="22" t="n">
        <f aca="false">IF($Z$5=0,0,IF(AND(INDEX(Applicability!$E$2:$O$2,1,$Z$5)="Y",OR(Applicability!$D$2="",IFERROR(INDEX($B$4:$F$4,MATCH(Applicability!$D$2,$B$3:$F$3,0)),"N")="Y")),1,0))</f>
        <v>1</v>
      </c>
      <c r="AB8" s="22" t="n">
        <f aca="false">IF(AA8=1,SUM(AA$8:AA8),"")</f>
        <v>1</v>
      </c>
    </row>
    <row r="9" customFormat="false" ht="15" hidden="false" customHeight="false" outlineLevel="0" collapsed="false">
      <c r="A9" s="6" t="n">
        <f aca="false">IF(2&gt;$B$5,"",2)</f>
        <v>2</v>
      </c>
      <c r="B9" s="6" t="str">
        <f aca="false">IF(A9="","",INDEX($Z$8:$Z$148,MATCH(A9,$AB$8:$AB$148,0)))</f>
        <v>A-02</v>
      </c>
      <c r="C9" s="6" t="str">
        <f aca="false">IF(B9="","",INDEX('Rule Matrix'!$B$2:$B$142,MATCH(B9,'Rule Matrix'!$A$2:$A$142,0)))</f>
        <v>A. Data Integrity</v>
      </c>
      <c r="D9" s="6" t="str">
        <f aca="false">IF(B9="","",INDEX('Rule Matrix'!$C$2:$C$142,MATCH(B9,'Rule Matrix'!$A$2:$A$142,0)))</f>
        <v>Period &amp; return filing completeness</v>
      </c>
      <c r="E9" s="6" t="str">
        <f aca="false">IF(B9="","",INDEX('Rule Matrix'!$D$2:$D$142,MATCH(B9,'Rule Matrix'!$A$2:$A$142,0)))</f>
        <v>s.37/39/44</v>
      </c>
      <c r="F9" s="6" t="str">
        <f aca="false">IF(B9="","",INDEX('Rule Matrix'!$F$2:$F$142,MATCH(B9,'Rule Matrix'!$A$2:$A$142,0)))</f>
        <v>All GSTR-1/3B/9/9C filed for all periods; compute delay days</v>
      </c>
      <c r="G9" s="6" t="str">
        <f aca="false">IF(B9="","",INDEX('Rule Matrix'!$G$2:$G$142,MATCH(B9,'Rule Matrix'!$A$2:$A$142,0)))</f>
        <v>Any non-filing</v>
      </c>
      <c r="H9" s="6" t="str">
        <f aca="false">IF(B9="","",INDEX('Rule Matrix'!$H$2:$H$142,MATCH(B9,'Rule Matrix'!$A$2:$A$142,0)))</f>
        <v>Med</v>
      </c>
      <c r="I9" s="6" t="str">
        <f aca="false">IF(B9="","",INDEX('Rule Matrix'!$J$2:$J$142,MATCH(B9,'Rule Matrix'!$A$2:$A$142,0)))</f>
        <v>File pending; pay late fee</v>
      </c>
      <c r="Z9" s="22" t="str">
        <f aca="false">Applicability!A3</f>
        <v>A-02</v>
      </c>
      <c r="AA9" s="22" t="n">
        <f aca="false">IF($Z$5=0,0,IF(AND(INDEX(Applicability!$E$3:$O$3,1,$Z$5)="Y",OR(Applicability!$D$3="",IFERROR(INDEX($B$4:$F$4,MATCH(Applicability!$D$3,$B$3:$F$3,0)),"N")="Y")),1,0))</f>
        <v>1</v>
      </c>
      <c r="AB9" s="22" t="n">
        <f aca="false">IF(AA9=1,SUM(AA$8:AA9),"")</f>
        <v>2</v>
      </c>
    </row>
    <row r="10" customFormat="false" ht="22.35" hidden="false" customHeight="false" outlineLevel="0" collapsed="false">
      <c r="A10" s="6" t="n">
        <f aca="false">IF(3&gt;$B$5,"",3)</f>
        <v>3</v>
      </c>
      <c r="B10" s="6" t="str">
        <f aca="false">IF(A10="","",INDEX($Z$8:$Z$148,MATCH(A10,$AB$8:$AB$148,0)))</f>
        <v>A-03</v>
      </c>
      <c r="C10" s="6" t="str">
        <f aca="false">IF(B10="","",INDEX('Rule Matrix'!$B$2:$B$142,MATCH(B10,'Rule Matrix'!$A$2:$A$142,0)))</f>
        <v>A. Data Integrity</v>
      </c>
      <c r="D10" s="6" t="str">
        <f aca="false">IF(B10="","",INDEX('Rule Matrix'!$C$2:$C$142,MATCH(B10,'Rule Matrix'!$A$2:$A$142,0)))</f>
        <v>Books vs return data completeness</v>
      </c>
      <c r="E10" s="6" t="str">
        <f aca="false">IF(B10="","",INDEX('Rule Matrix'!$D$2:$D$142,MATCH(B10,'Rule Matrix'!$A$2:$A$142,0)))</f>
        <v>—</v>
      </c>
      <c r="F10" s="6" t="str">
        <f aca="false">IF(B10="","",INDEX('Rule Matrix'!$F$2:$F$142,MATCH(B10,'Rule Matrix'!$A$2:$A$142,0)))</f>
        <v>Sum of registers = GL control accounts; all GSTINs of PAN covered</v>
      </c>
      <c r="G10" s="6" t="str">
        <f aca="false">IF(B10="","",INDEX('Rule Matrix'!$G$2:$G$142,MATCH(B10,'Rule Matrix'!$A$2:$A$142,0)))</f>
        <v>Diff &gt; ₹1,000</v>
      </c>
      <c r="H10" s="6" t="str">
        <f aca="false">IF(B10="","",INDEX('Rule Matrix'!$H$2:$H$142,MATCH(B10,'Rule Matrix'!$A$2:$A$142,0)))</f>
        <v>Med</v>
      </c>
      <c r="I10" s="6" t="str">
        <f aca="false">IF(B10="","",INDEX('Rule Matrix'!$J$2:$J$142,MATCH(B10,'Rule Matrix'!$A$2:$A$142,0)))</f>
        <v>Reconcile registers to GL</v>
      </c>
      <c r="Z10" s="22" t="str">
        <f aca="false">Applicability!A4</f>
        <v>A-03</v>
      </c>
      <c r="AA10" s="22" t="n">
        <f aca="false">IF($Z$5=0,0,IF(AND(INDEX(Applicability!$E$4:$O$4,1,$Z$5)="Y",OR(Applicability!$D$4="",IFERROR(INDEX($B$4:$F$4,MATCH(Applicability!$D$4,$B$3:$F$3,0)),"N")="Y")),1,0))</f>
        <v>1</v>
      </c>
      <c r="AB10" s="22" t="n">
        <f aca="false">IF(AA10=1,SUM(AA$8:AA10),"")</f>
        <v>3</v>
      </c>
    </row>
    <row r="11" customFormat="false" ht="32.8" hidden="false" customHeight="false" outlineLevel="0" collapsed="false">
      <c r="A11" s="6" t="n">
        <f aca="false">IF(4&gt;$B$5,"",4)</f>
        <v>4</v>
      </c>
      <c r="B11" s="6" t="str">
        <f aca="false">IF(A11="","",INDEX($Z$8:$Z$148,MATCH(A11,$AB$8:$AB$148,0)))</f>
        <v>B-01</v>
      </c>
      <c r="C11" s="6" t="str">
        <f aca="false">IF(B11="","",INDEX('Rule Matrix'!$B$2:$B$142,MATCH(B11,'Rule Matrix'!$A$2:$A$142,0)))</f>
        <v>B. ITC Eligibility (s.16)</v>
      </c>
      <c r="D11" s="6" t="str">
        <f aca="false">IF(B11="","",INDEX('Rule Matrix'!$C$2:$C$142,MATCH(B11,'Rule Matrix'!$A$2:$A$142,0)))</f>
        <v>ITC claimed vs GSTR-2B</v>
      </c>
      <c r="E11" s="6" t="str">
        <f aca="false">IF(B11="","",INDEX('Rule Matrix'!$D$2:$D$142,MATCH(B11,'Rule Matrix'!$A$2:$A$142,0)))</f>
        <v>s.16(2)(aa), Rule 36(4)</v>
      </c>
      <c r="F11" s="6" t="str">
        <f aca="false">IF(B11="","",INDEX('Rule Matrix'!$F$2:$F$142,MATCH(B11,'Rule Matrix'!$A$2:$A$142,0)))</f>
        <v>Line-level match: GSTIN+Inv No+Date+Taxable+Tax; ITC in 3B &gt; 2B → excess</v>
      </c>
      <c r="G11" s="6" t="str">
        <f aca="false">IF(B11="","",INDEX('Rule Matrix'!$G$2:$G$142,MATCH(B11,'Rule Matrix'!$A$2:$A$142,0)))</f>
        <v>Diff &gt; ₹1,000/month or &gt; 1%</v>
      </c>
      <c r="H11" s="6" t="str">
        <f aca="false">IF(B11="","",INDEX('Rule Matrix'!$H$2:$H$142,MATCH(B11,'Rule Matrix'!$A$2:$A$142,0)))</f>
        <v>High</v>
      </c>
      <c r="I11" s="6" t="str">
        <f aca="false">IF(B11="","",INDEX('Rule Matrix'!$J$2:$J$142,MATCH(B11,'Rule Matrix'!$A$2:$A$142,0)))</f>
        <v>Reverse via DRC-03; respond to DRC-01C (Rule 88D)</v>
      </c>
      <c r="Z11" s="22" t="str">
        <f aca="false">Applicability!A5</f>
        <v>B-01</v>
      </c>
      <c r="AA11" s="22" t="n">
        <f aca="false">IF($Z$5=0,0,IF(AND(INDEX(Applicability!$E$5:$O$5,1,$Z$5)="Y",OR(Applicability!$D$5="",IFERROR(INDEX($B$4:$F$4,MATCH(Applicability!$D$5,$B$3:$F$3,0)),"N")="Y")),1,0))</f>
        <v>1</v>
      </c>
      <c r="AB11" s="22" t="n">
        <f aca="false">IF(AA11=1,SUM(AA$8:AA11),"")</f>
        <v>4</v>
      </c>
    </row>
    <row r="12" customFormat="false" ht="15" hidden="false" customHeight="false" outlineLevel="0" collapsed="false">
      <c r="A12" s="6" t="n">
        <f aca="false">IF(5&gt;$B$5,"",5)</f>
        <v>5</v>
      </c>
      <c r="B12" s="6" t="str">
        <f aca="false">IF(A12="","",INDEX($Z$8:$Z$148,MATCH(A12,$AB$8:$AB$148,0)))</f>
        <v>B-02</v>
      </c>
      <c r="C12" s="6" t="str">
        <f aca="false">IF(B12="","",INDEX('Rule Matrix'!$B$2:$B$142,MATCH(B12,'Rule Matrix'!$A$2:$A$142,0)))</f>
        <v>B. ITC Eligibility (s.16)</v>
      </c>
      <c r="D12" s="6" t="str">
        <f aca="false">IF(B12="","",INDEX('Rule Matrix'!$C$2:$C$142,MATCH(B12,'Rule Matrix'!$A$2:$A$142,0)))</f>
        <v>ITC in books but not in 2B</v>
      </c>
      <c r="E12" s="6" t="str">
        <f aca="false">IF(B12="","",INDEX('Rule Matrix'!$D$2:$D$142,MATCH(B12,'Rule Matrix'!$A$2:$A$142,0)))</f>
        <v>s.16(2)(aa)</v>
      </c>
      <c r="F12" s="6" t="str">
        <f aca="false">IF(B12="","",INDEX('Rule Matrix'!$F$2:$F$142,MATCH(B12,'Rule Matrix'!$A$2:$A$142,0)))</f>
        <v>Invoices in books absent in 2B/IMS</v>
      </c>
      <c r="G12" s="6" t="str">
        <f aca="false">IF(B12="","",INDEX('Rule Matrix'!$G$2:$G$142,MATCH(B12,'Rule Matrix'!$A$2:$A$142,0)))</f>
        <v>Any</v>
      </c>
      <c r="H12" s="6" t="str">
        <f aca="false">IF(B12="","",INDEX('Rule Matrix'!$H$2:$H$142,MATCH(B12,'Rule Matrix'!$A$2:$A$142,0)))</f>
        <v>Med</v>
      </c>
      <c r="I12" s="6" t="str">
        <f aca="false">IF(B12="","",INDEX('Rule Matrix'!$J$2:$J$142,MATCH(B12,'Rule Matrix'!$A$2:$A$142,0)))</f>
        <v>Vendor follow-up; defer claim</v>
      </c>
      <c r="Z12" s="22" t="str">
        <f aca="false">Applicability!A6</f>
        <v>B-02</v>
      </c>
      <c r="AA12" s="22" t="n">
        <f aca="false">IF($Z$5=0,0,IF(AND(INDEX(Applicability!$E$6:$O$6,1,$Z$5)="Y",OR(Applicability!$D$6="",IFERROR(INDEX($B$4:$F$4,MATCH(Applicability!$D$6,$B$3:$F$3,0)),"N")="Y")),1,0))</f>
        <v>1</v>
      </c>
      <c r="AB12" s="22" t="n">
        <f aca="false">IF(AA12=1,SUM(AA$8:AA12),"")</f>
        <v>5</v>
      </c>
    </row>
    <row r="13" customFormat="false" ht="22.35" hidden="false" customHeight="false" outlineLevel="0" collapsed="false">
      <c r="A13" s="6" t="n">
        <f aca="false">IF(6&gt;$B$5,"",6)</f>
        <v>6</v>
      </c>
      <c r="B13" s="6" t="str">
        <f aca="false">IF(A13="","",INDEX($Z$8:$Z$148,MATCH(A13,$AB$8:$AB$148,0)))</f>
        <v>B-03</v>
      </c>
      <c r="C13" s="6" t="str">
        <f aca="false">IF(B13="","",INDEX('Rule Matrix'!$B$2:$B$142,MATCH(B13,'Rule Matrix'!$A$2:$A$142,0)))</f>
        <v>B. ITC Eligibility (s.16)</v>
      </c>
      <c r="D13" s="6" t="str">
        <f aca="false">IF(B13="","",INDEX('Rule Matrix'!$C$2:$C$142,MATCH(B13,'Rule Matrix'!$A$2:$A$142,0)))</f>
        <v>Receipt of goods/services</v>
      </c>
      <c r="E13" s="6" t="str">
        <f aca="false">IF(B13="","",INDEX('Rule Matrix'!$D$2:$D$142,MATCH(B13,'Rule Matrix'!$A$2:$A$142,0)))</f>
        <v>s.16(2)(b)</v>
      </c>
      <c r="F13" s="6" t="str">
        <f aca="false">IF(B13="","",INDEX('Rule Matrix'!$F$2:$F$142,MATCH(B13,'Rule Matrix'!$A$2:$A$142,0)))</f>
        <v>Invoice without GRN/EWB for goods; bill-to-ship-to documentation</v>
      </c>
      <c r="G13" s="6" t="str">
        <f aca="false">IF(B13="","",INDEX('Rule Matrix'!$G$2:$G$142,MATCH(B13,'Rule Matrix'!$A$2:$A$142,0)))</f>
        <v>Any</v>
      </c>
      <c r="H13" s="6" t="str">
        <f aca="false">IF(B13="","",INDEX('Rule Matrix'!$H$2:$H$142,MATCH(B13,'Rule Matrix'!$A$2:$A$142,0)))</f>
        <v>High</v>
      </c>
      <c r="I13" s="6" t="str">
        <f aca="false">IF(B13="","",INDEX('Rule Matrix'!$J$2:$J$142,MATCH(B13,'Rule Matrix'!$A$2:$A$142,0)))</f>
        <v>Obtain proof of receipt</v>
      </c>
      <c r="Z13" s="22" t="str">
        <f aca="false">Applicability!A7</f>
        <v>B-03</v>
      </c>
      <c r="AA13" s="22" t="n">
        <f aca="false">IF($Z$5=0,0,IF(AND(INDEX(Applicability!$E$7:$O$7,1,$Z$5)="Y",OR(Applicability!$D$7="",IFERROR(INDEX($B$4:$F$4,MATCH(Applicability!$D$7,$B$3:$F$3,0)),"N")="Y")),1,0))</f>
        <v>1</v>
      </c>
      <c r="AB13" s="22" t="n">
        <f aca="false">IF(AA13=1,SUM(AA$8:AA13),"")</f>
        <v>6</v>
      </c>
    </row>
    <row r="14" customFormat="false" ht="32.8" hidden="false" customHeight="false" outlineLevel="0" collapsed="false">
      <c r="A14" s="6" t="n">
        <f aca="false">IF(7&gt;$B$5,"",7)</f>
        <v>7</v>
      </c>
      <c r="B14" s="6" t="str">
        <f aca="false">IF(A14="","",INDEX($Z$8:$Z$148,MATCH(A14,$AB$8:$AB$148,0)))</f>
        <v>B-04</v>
      </c>
      <c r="C14" s="6" t="str">
        <f aca="false">IF(B14="","",INDEX('Rule Matrix'!$B$2:$B$142,MATCH(B14,'Rule Matrix'!$A$2:$A$142,0)))</f>
        <v>B. ITC Eligibility (s.16)</v>
      </c>
      <c r="D14" s="6" t="str">
        <f aca="false">IF(B14="","",INDEX('Rule Matrix'!$C$2:$C$142,MATCH(B14,'Rule Matrix'!$A$2:$A$142,0)))</f>
        <v>Supplier tax payment (Rule 37A)</v>
      </c>
      <c r="E14" s="6" t="str">
        <f aca="false">IF(B14="","",INDEX('Rule Matrix'!$D$2:$D$142,MATCH(B14,'Rule Matrix'!$A$2:$A$142,0)))</f>
        <v>s.16(2)(c), Rule 37A; Suncraft Energy (Cal HC; SC dismissed SLP, Dec 2023)</v>
      </c>
      <c r="F14" s="6" t="str">
        <f aca="false">IF(B14="","",INDEX('Rule Matrix'!$F$2:$F$142,MATCH(B14,'Rule Matrix'!$A$2:$A$142,0)))</f>
        <v>Vendor 3B not filed by 30 Sept of next FY → reverse by 30 Nov. Defence: ITC cannot be denied to bona fide buyer solely for supplier default without first proceeding against supplier</v>
      </c>
      <c r="G14" s="6" t="str">
        <f aca="false">IF(B14="","",INDEX('Rule Matrix'!$G$2:$G$142,MATCH(B14,'Rule Matrix'!$A$2:$A$142,0)))</f>
        <v>Any</v>
      </c>
      <c r="H14" s="6" t="str">
        <f aca="false">IF(B14="","",INDEX('Rule Matrix'!$H$2:$H$142,MATCH(B14,'Rule Matrix'!$A$2:$A$142,0)))</f>
        <v>High</v>
      </c>
      <c r="I14" s="6" t="str">
        <f aca="false">IF(B14="","",INDEX('Rule Matrix'!$J$2:$J$142,MATCH(B14,'Rule Matrix'!$A$2:$A$142,0)))</f>
        <v>Reverse by 30 Nov; reclaim once vendor files</v>
      </c>
      <c r="Z14" s="22" t="str">
        <f aca="false">Applicability!A8</f>
        <v>B-04</v>
      </c>
      <c r="AA14" s="22" t="n">
        <f aca="false">IF($Z$5=0,0,IF(AND(INDEX(Applicability!$E$8:$O$8,1,$Z$5)="Y",OR(Applicability!$D$8="",IFERROR(INDEX($B$4:$F$4,MATCH(Applicability!$D$8,$B$3:$F$3,0)),"N")="Y")),1,0))</f>
        <v>1</v>
      </c>
      <c r="AB14" s="22" t="n">
        <f aca="false">IF(AA14=1,SUM(AA$8:AA14),"")</f>
        <v>7</v>
      </c>
    </row>
    <row r="15" customFormat="false" ht="22.35" hidden="false" customHeight="false" outlineLevel="0" collapsed="false">
      <c r="A15" s="6" t="n">
        <f aca="false">IF(8&gt;$B$5,"",8)</f>
        <v>8</v>
      </c>
      <c r="B15" s="6" t="str">
        <f aca="false">IF(A15="","",INDEX($Z$8:$Z$148,MATCH(A15,$AB$8:$AB$148,0)))</f>
        <v>B-05</v>
      </c>
      <c r="C15" s="6" t="str">
        <f aca="false">IF(B15="","",INDEX('Rule Matrix'!$B$2:$B$142,MATCH(B15,'Rule Matrix'!$A$2:$A$142,0)))</f>
        <v>B. ITC Eligibility (s.16)</v>
      </c>
      <c r="D15" s="6" t="str">
        <f aca="false">IF(B15="","",INDEX('Rule Matrix'!$C$2:$C$142,MATCH(B15,'Rule Matrix'!$A$2:$A$142,0)))</f>
        <v>Payment within 180 days</v>
      </c>
      <c r="E15" s="6" t="str">
        <f aca="false">IF(B15="","",INDEX('Rule Matrix'!$D$2:$D$142,MATCH(B15,'Rule Matrix'!$A$2:$A$142,0)))</f>
        <v>Rule 37, s.16(2) 2nd proviso</v>
      </c>
      <c r="F15" s="6" t="str">
        <f aca="false">IF(B15="","",INDEX('Rule Matrix'!$F$2:$F$142,MATCH(B15,'Rule Matrix'!$A$2:$A$142,0)))</f>
        <v>Unpaid value &gt; 180 days from invoice date (excl. RCM, deemed supply)</v>
      </c>
      <c r="G15" s="6" t="str">
        <f aca="false">IF(B15="","",INDEX('Rule Matrix'!$G$2:$G$142,MATCH(B15,'Rule Matrix'!$A$2:$A$142,0)))</f>
        <v>Any</v>
      </c>
      <c r="H15" s="6" t="str">
        <f aca="false">IF(B15="","",INDEX('Rule Matrix'!$H$2:$H$142,MATCH(B15,'Rule Matrix'!$A$2:$A$142,0)))</f>
        <v>High</v>
      </c>
      <c r="I15" s="6" t="str">
        <f aca="false">IF(B15="","",INDEX('Rule Matrix'!$J$2:$J$142,MATCH(B15,'Rule Matrix'!$A$2:$A$142,0)))</f>
        <v>Reverse in 3B; reclaim on payment</v>
      </c>
      <c r="Z15" s="22" t="str">
        <f aca="false">Applicability!A9</f>
        <v>B-05</v>
      </c>
      <c r="AA15" s="22" t="n">
        <f aca="false">IF($Z$5=0,0,IF(AND(INDEX(Applicability!$E$9:$O$9,1,$Z$5)="Y",OR(Applicability!$D$9="",IFERROR(INDEX($B$4:$F$4,MATCH(Applicability!$D$9,$B$3:$F$3,0)),"N")="Y")),1,0))</f>
        <v>1</v>
      </c>
      <c r="AB15" s="22" t="n">
        <f aca="false">IF(AA15=1,SUM(AA$8:AA15),"")</f>
        <v>8</v>
      </c>
    </row>
    <row r="16" customFormat="false" ht="15" hidden="false" customHeight="false" outlineLevel="0" collapsed="false">
      <c r="A16" s="6" t="n">
        <f aca="false">IF(9&gt;$B$5,"",9)</f>
        <v>9</v>
      </c>
      <c r="B16" s="6" t="str">
        <f aca="false">IF(A16="","",INDEX($Z$8:$Z$148,MATCH(A16,$AB$8:$AB$148,0)))</f>
        <v>B-06</v>
      </c>
      <c r="C16" s="6" t="str">
        <f aca="false">IF(B16="","",INDEX('Rule Matrix'!$B$2:$B$142,MATCH(B16,'Rule Matrix'!$A$2:$A$142,0)))</f>
        <v>B. ITC Eligibility (s.16)</v>
      </c>
      <c r="D16" s="6" t="str">
        <f aca="false">IF(B16="","",INDEX('Rule Matrix'!$C$2:$C$142,MATCH(B16,'Rule Matrix'!$A$2:$A$142,0)))</f>
        <v>Depreciation on tax component</v>
      </c>
      <c r="E16" s="6" t="str">
        <f aca="false">IF(B16="","",INDEX('Rule Matrix'!$D$2:$D$142,MATCH(B16,'Rule Matrix'!$A$2:$A$142,0)))</f>
        <v>s.16(3)</v>
      </c>
      <c r="F16" s="6" t="str">
        <f aca="false">IF(B16="","",INDEX('Rule Matrix'!$F$2:$F$142,MATCH(B16,'Rule Matrix'!$A$2:$A$142,0)))</f>
        <v>Capital goods where ITC claimed AND GST capitalised in cost</v>
      </c>
      <c r="G16" s="6" t="str">
        <f aca="false">IF(B16="","",INDEX('Rule Matrix'!$G$2:$G$142,MATCH(B16,'Rule Matrix'!$A$2:$A$142,0)))</f>
        <v>Any</v>
      </c>
      <c r="H16" s="6" t="str">
        <f aca="false">IF(B16="","",INDEX('Rule Matrix'!$H$2:$H$142,MATCH(B16,'Rule Matrix'!$A$2:$A$142,0)))</f>
        <v>High</v>
      </c>
      <c r="I16" s="6" t="str">
        <f aca="false">IF(B16="","",INDEX('Rule Matrix'!$J$2:$J$142,MATCH(B16,'Rule Matrix'!$A$2:$A$142,0)))</f>
        <v>Reverse ITC or de-capitalise</v>
      </c>
      <c r="Z16" s="22" t="str">
        <f aca="false">Applicability!A10</f>
        <v>B-06</v>
      </c>
      <c r="AA16" s="22" t="n">
        <f aca="false">IF($Z$5=0,0,IF(AND(INDEX(Applicability!$E$10:$O$10,1,$Z$5)="Y",OR(Applicability!$D$10="",IFERROR(INDEX($B$4:$F$4,MATCH(Applicability!$D$10,$B$3:$F$3,0)),"N")="Y")),1,0))</f>
        <v>1</v>
      </c>
      <c r="AB16" s="22" t="n">
        <f aca="false">IF(AA16=1,SUM(AA$8:AA16),"")</f>
        <v>9</v>
      </c>
    </row>
    <row r="17" customFormat="false" ht="22.35" hidden="false" customHeight="false" outlineLevel="0" collapsed="false">
      <c r="A17" s="6" t="n">
        <f aca="false">IF(10&gt;$B$5,"",10)</f>
        <v>10</v>
      </c>
      <c r="B17" s="6" t="str">
        <f aca="false">IF(A17="","",INDEX($Z$8:$Z$148,MATCH(A17,$AB$8:$AB$148,0)))</f>
        <v>B-07</v>
      </c>
      <c r="C17" s="6" t="str">
        <f aca="false">IF(B17="","",INDEX('Rule Matrix'!$B$2:$B$142,MATCH(B17,'Rule Matrix'!$A$2:$A$142,0)))</f>
        <v>B. ITC Eligibility (s.16)</v>
      </c>
      <c r="D17" s="6" t="str">
        <f aca="false">IF(B17="","",INDEX('Rule Matrix'!$C$2:$C$142,MATCH(B17,'Rule Matrix'!$A$2:$A$142,0)))</f>
        <v>Time limit for ITC</v>
      </c>
      <c r="E17" s="6" t="str">
        <f aca="false">IF(B17="","",INDEX('Rule Matrix'!$D$2:$D$142,MATCH(B17,'Rule Matrix'!$A$2:$A$142,0)))</f>
        <v>s.16(4), 16(5), 16(6)</v>
      </c>
      <c r="F17" s="6" t="str">
        <f aca="false">IF(B17="","",INDEX('Rule Matrix'!$F$2:$F$142,MATCH(B17,'Rule Matrix'!$A$2:$A$142,0)))</f>
        <v>Claimed after earlier of 30 Nov next FY / annual return date; DN date used for DN</v>
      </c>
      <c r="G17" s="6" t="str">
        <f aca="false">IF(B17="","",INDEX('Rule Matrix'!$G$2:$G$142,MATCH(B17,'Rule Matrix'!$A$2:$A$142,0)))</f>
        <v>Any</v>
      </c>
      <c r="H17" s="6" t="str">
        <f aca="false">IF(B17="","",INDEX('Rule Matrix'!$H$2:$H$142,MATCH(B17,'Rule Matrix'!$A$2:$A$142,0)))</f>
        <v>High</v>
      </c>
      <c r="I17" s="6" t="str">
        <f aca="false">IF(B17="","",INDEX('Rule Matrix'!$J$2:$J$142,MATCH(B17,'Rule Matrix'!$A$2:$A$142,0)))</f>
        <v>Reverse; check 16(5)/(6) relaxation</v>
      </c>
      <c r="Z17" s="22" t="str">
        <f aca="false">Applicability!A11</f>
        <v>B-07</v>
      </c>
      <c r="AA17" s="22" t="n">
        <f aca="false">IF($Z$5=0,0,IF(AND(INDEX(Applicability!$E$11:$O$11,1,$Z$5)="Y",OR(Applicability!$D$11="",IFERROR(INDEX($B$4:$F$4,MATCH(Applicability!$D$11,$B$3:$F$3,0)),"N")="Y")),1,0))</f>
        <v>1</v>
      </c>
      <c r="AB17" s="22" t="n">
        <f aca="false">IF(AA17=1,SUM(AA$8:AA17),"")</f>
        <v>10</v>
      </c>
    </row>
    <row r="18" customFormat="false" ht="15" hidden="false" customHeight="false" outlineLevel="0" collapsed="false">
      <c r="A18" s="6" t="n">
        <f aca="false">IF(11&gt;$B$5,"",11)</f>
        <v>11</v>
      </c>
      <c r="B18" s="6" t="str">
        <f aca="false">IF(A18="","",INDEX($Z$8:$Z$148,MATCH(A18,$AB$8:$AB$148,0)))</f>
        <v>B-08</v>
      </c>
      <c r="C18" s="6" t="str">
        <f aca="false">IF(B18="","",INDEX('Rule Matrix'!$B$2:$B$142,MATCH(B18,'Rule Matrix'!$A$2:$A$142,0)))</f>
        <v>B. ITC Eligibility (s.16)</v>
      </c>
      <c r="D18" s="6" t="str">
        <f aca="false">IF(B18="","",INDEX('Rule Matrix'!$C$2:$C$142,MATCH(B18,'Rule Matrix'!$A$2:$A$142,0)))</f>
        <v>Duplicate ITC</v>
      </c>
      <c r="E18" s="6" t="str">
        <f aca="false">IF(B18="","",INDEX('Rule Matrix'!$D$2:$D$142,MATCH(B18,'Rule Matrix'!$A$2:$A$142,0)))</f>
        <v>s.16</v>
      </c>
      <c r="F18" s="6" t="str">
        <f aca="false">IF(B18="","",INDEX('Rule Matrix'!$F$2:$F$142,MATCH(B18,'Rule Matrix'!$A$2:$A$142,0)))</f>
        <v>Same GSTIN+Inv No claimed twice / across GSTINs / periods</v>
      </c>
      <c r="G18" s="6" t="str">
        <f aca="false">IF(B18="","",INDEX('Rule Matrix'!$G$2:$G$142,MATCH(B18,'Rule Matrix'!$A$2:$A$142,0)))</f>
        <v>Any</v>
      </c>
      <c r="H18" s="6" t="str">
        <f aca="false">IF(B18="","",INDEX('Rule Matrix'!$H$2:$H$142,MATCH(B18,'Rule Matrix'!$A$2:$A$142,0)))</f>
        <v>High</v>
      </c>
      <c r="I18" s="6" t="str">
        <f aca="false">IF(B18="","",INDEX('Rule Matrix'!$J$2:$J$142,MATCH(B18,'Rule Matrix'!$A$2:$A$142,0)))</f>
        <v>Reverse</v>
      </c>
      <c r="Z18" s="22" t="str">
        <f aca="false">Applicability!A12</f>
        <v>B-08</v>
      </c>
      <c r="AA18" s="22" t="n">
        <f aca="false">IF($Z$5=0,0,IF(AND(INDEX(Applicability!$E$12:$O$12,1,$Z$5)="Y",OR(Applicability!$D$12="",IFERROR(INDEX($B$4:$F$4,MATCH(Applicability!$D$12,$B$3:$F$3,0)),"N")="Y")),1,0))</f>
        <v>1</v>
      </c>
      <c r="AB18" s="22" t="n">
        <f aca="false">IF(AA18=1,SUM(AA$8:AA18),"")</f>
        <v>11</v>
      </c>
    </row>
    <row r="19" customFormat="false" ht="22.35" hidden="false" customHeight="false" outlineLevel="0" collapsed="false">
      <c r="A19" s="6" t="n">
        <f aca="false">IF(12&gt;$B$5,"",12)</f>
        <v>12</v>
      </c>
      <c r="B19" s="6" t="str">
        <f aca="false">IF(A19="","",INDEX($Z$8:$Z$148,MATCH(A19,$AB$8:$AB$148,0)))</f>
        <v>B-10</v>
      </c>
      <c r="C19" s="6" t="str">
        <f aca="false">IF(B19="","",INDEX('Rule Matrix'!$B$2:$B$142,MATCH(B19,'Rule Matrix'!$A$2:$A$142,0)))</f>
        <v>B. ITC Eligibility (s.16)</v>
      </c>
      <c r="D19" s="6" t="str">
        <f aca="false">IF(B19="","",INDEX('Rule Matrix'!$C$2:$C$142,MATCH(B19,'Rule Matrix'!$A$2:$A$142,0)))</f>
        <v>ITC on invoices from cancelled/composition vendors</v>
      </c>
      <c r="E19" s="6" t="str">
        <f aca="false">IF(B19="","",INDEX('Rule Matrix'!$D$2:$D$142,MATCH(B19,'Rule Matrix'!$A$2:$A$142,0)))</f>
        <v>s.16, s.10(4)</v>
      </c>
      <c r="F19" s="6" t="str">
        <f aca="false">IF(B19="","",INDEX('Rule Matrix'!$F$2:$F$142,MATCH(B19,'Rule Matrix'!$A$2:$A$142,0)))</f>
        <v>Tax charged by composition dealer or post-cancellation invoice</v>
      </c>
      <c r="G19" s="6" t="str">
        <f aca="false">IF(B19="","",INDEX('Rule Matrix'!$G$2:$G$142,MATCH(B19,'Rule Matrix'!$A$2:$A$142,0)))</f>
        <v>Any</v>
      </c>
      <c r="H19" s="6" t="str">
        <f aca="false">IF(B19="","",INDEX('Rule Matrix'!$H$2:$H$142,MATCH(B19,'Rule Matrix'!$A$2:$A$142,0)))</f>
        <v>High</v>
      </c>
      <c r="I19" s="6" t="str">
        <f aca="false">IF(B19="","",INDEX('Rule Matrix'!$J$2:$J$142,MATCH(B19,'Rule Matrix'!$A$2:$A$142,0)))</f>
        <v>Reverse</v>
      </c>
      <c r="Z19" s="22" t="str">
        <f aca="false">Applicability!A13</f>
        <v>B-09</v>
      </c>
      <c r="AA19" s="22" t="n">
        <f aca="false">IF($Z$5=0,0,IF(AND(INDEX(Applicability!$E$13:$O$13,1,$Z$5)="Y",OR(Applicability!$D$13="",IFERROR(INDEX($B$4:$F$4,MATCH(Applicability!$D$13,$B$3:$F$3,0)),"N")="Y")),1,0))</f>
        <v>0</v>
      </c>
      <c r="AB19" s="22" t="str">
        <f aca="false">IF(AA19=1,SUM(AA$8:AA19),"")</f>
        <v/>
      </c>
    </row>
    <row r="20" customFormat="false" ht="22.35" hidden="false" customHeight="false" outlineLevel="0" collapsed="false">
      <c r="A20" s="6" t="n">
        <f aca="false">IF(13&gt;$B$5,"",13)</f>
        <v>13</v>
      </c>
      <c r="B20" s="6" t="str">
        <f aca="false">IF(A20="","",INDEX($Z$8:$Z$148,MATCH(A20,$AB$8:$AB$148,0)))</f>
        <v>B-11</v>
      </c>
      <c r="C20" s="6" t="str">
        <f aca="false">IF(B20="","",INDEX('Rule Matrix'!$B$2:$B$142,MATCH(B20,'Rule Matrix'!$A$2:$A$142,0)))</f>
        <v>B. ITC Eligibility (s.16)</v>
      </c>
      <c r="D20" s="6" t="str">
        <f aca="false">IF(B20="","",INDEX('Rule Matrix'!$C$2:$C$142,MATCH(B20,'Rule Matrix'!$A$2:$A$142,0)))</f>
        <v>Document validity</v>
      </c>
      <c r="E20" s="6" t="str">
        <f aca="false">IF(B20="","",INDEX('Rule Matrix'!$D$2:$D$142,MATCH(B20,'Rule Matrix'!$A$2:$A$142,0)))</f>
        <v>s.16(2)(a), Rule 36</v>
      </c>
      <c r="F20" s="6" t="str">
        <f aca="false">IF(B20="","",INDEX('Rule Matrix'!$F$2:$F$142,MATCH(B20,'Rule Matrix'!$A$2:$A$142,0)))</f>
        <v>Mandatory particulars present (Rule 46): GSTIN, HSN, POS, tax break-up; e-invoice IRN where supplier mandated</v>
      </c>
      <c r="G20" s="6" t="str">
        <f aca="false">IF(B20="","",INDEX('Rule Matrix'!$G$2:$G$142,MATCH(B20,'Rule Matrix'!$A$2:$A$142,0)))</f>
        <v>Any</v>
      </c>
      <c r="H20" s="6" t="str">
        <f aca="false">IF(B20="","",INDEX('Rule Matrix'!$H$2:$H$142,MATCH(B20,'Rule Matrix'!$A$2:$A$142,0)))</f>
        <v>Med</v>
      </c>
      <c r="I20" s="6" t="str">
        <f aca="false">IF(B20="","",INDEX('Rule Matrix'!$J$2:$J$142,MATCH(B20,'Rule Matrix'!$A$2:$A$142,0)))</f>
        <v>Obtain corrected invoice</v>
      </c>
      <c r="Z20" s="22" t="str">
        <f aca="false">Applicability!A14</f>
        <v>B-10</v>
      </c>
      <c r="AA20" s="22" t="n">
        <f aca="false">IF($Z$5=0,0,IF(AND(INDEX(Applicability!$E$14:$O$14,1,$Z$5)="Y",OR(Applicability!$D$14="",IFERROR(INDEX($B$4:$F$4,MATCH(Applicability!$D$14,$B$3:$F$3,0)),"N")="Y")),1,0))</f>
        <v>1</v>
      </c>
      <c r="AB20" s="22" t="n">
        <f aca="false">IF(AA20=1,SUM(AA$8:AA20),"")</f>
        <v>12</v>
      </c>
    </row>
    <row r="21" customFormat="false" ht="22.35" hidden="false" customHeight="false" outlineLevel="0" collapsed="false">
      <c r="A21" s="6" t="n">
        <f aca="false">IF(14&gt;$B$5,"",14)</f>
        <v>14</v>
      </c>
      <c r="B21" s="6" t="str">
        <f aca="false">IF(A21="","",INDEX($Z$8:$Z$148,MATCH(A21,$AB$8:$AB$148,0)))</f>
        <v>C-01</v>
      </c>
      <c r="C21" s="6" t="str">
        <f aca="false">IF(B21="","",INDEX('Rule Matrix'!$B$2:$B$142,MATCH(B21,'Rule Matrix'!$A$2:$A$142,0)))</f>
        <v>C. RCM</v>
      </c>
      <c r="D21" s="6" t="str">
        <f aca="false">IF(B21="","",INDEX('Rule Matrix'!$C$2:$C$142,MATCH(B21,'Rule Matrix'!$A$2:$A$142,0)))</f>
        <v>RCM liability identification</v>
      </c>
      <c r="E21" s="6" t="str">
        <f aca="false">IF(B21="","",INDEX('Rule Matrix'!$D$2:$D$142,MATCH(B21,'Rule Matrix'!$A$2:$A$142,0)))</f>
        <v>s.9(3), 9(4); Notfn 13/2017-CT(R)</v>
      </c>
      <c r="F21" s="6" t="str">
        <f aca="false">IF(B21="","",INDEX('Rule Matrix'!$F$2:$F$142,MATCH(B21,'Rule Matrix'!$A$2:$A$142,0)))</f>
        <v>Map GTA, legal, security, director sitting fees, sponsorship, renting by URP, import of services; compute liability</v>
      </c>
      <c r="G21" s="6" t="str">
        <f aca="false">IF(B21="","",INDEX('Rule Matrix'!$G$2:$G$142,MATCH(B21,'Rule Matrix'!$A$2:$A$142,0)))</f>
        <v>Any unpaid</v>
      </c>
      <c r="H21" s="6" t="str">
        <f aca="false">IF(B21="","",INDEX('Rule Matrix'!$H$2:$H$142,MATCH(B21,'Rule Matrix'!$A$2:$A$142,0)))</f>
        <v>High</v>
      </c>
      <c r="I21" s="6" t="str">
        <f aca="false">IF(B21="","",INDEX('Rule Matrix'!$J$2:$J$142,MATCH(B21,'Rule Matrix'!$A$2:$A$142,0)))</f>
        <v>Pay via cash ledger; claim ITC</v>
      </c>
      <c r="Z21" s="22" t="str">
        <f aca="false">Applicability!A15</f>
        <v>B-11</v>
      </c>
      <c r="AA21" s="22" t="n">
        <f aca="false">IF($Z$5=0,0,IF(AND(INDEX(Applicability!$E$15:$O$15,1,$Z$5)="Y",OR(Applicability!$D$15="",IFERROR(INDEX($B$4:$F$4,MATCH(Applicability!$D$15,$B$3:$F$3,0)),"N")="Y")),1,0))</f>
        <v>1</v>
      </c>
      <c r="AB21" s="22" t="n">
        <f aca="false">IF(AA21=1,SUM(AA$8:AA21),"")</f>
        <v>13</v>
      </c>
    </row>
    <row r="22" customFormat="false" ht="15" hidden="false" customHeight="false" outlineLevel="0" collapsed="false">
      <c r="A22" s="6" t="n">
        <f aca="false">IF(15&gt;$B$5,"",15)</f>
        <v>15</v>
      </c>
      <c r="B22" s="6" t="str">
        <f aca="false">IF(A22="","",INDEX($Z$8:$Z$148,MATCH(A22,$AB$8:$AB$148,0)))</f>
        <v>C-02</v>
      </c>
      <c r="C22" s="6" t="str">
        <f aca="false">IF(B22="","",INDEX('Rule Matrix'!$B$2:$B$142,MATCH(B22,'Rule Matrix'!$A$2:$A$142,0)))</f>
        <v>C. RCM</v>
      </c>
      <c r="D22" s="6" t="str">
        <f aca="false">IF(B22="","",INDEX('Rule Matrix'!$C$2:$C$142,MATCH(B22,'Rule Matrix'!$A$2:$A$142,0)))</f>
        <v>RCM ITC after payment</v>
      </c>
      <c r="E22" s="6" t="str">
        <f aca="false">IF(B22="","",INDEX('Rule Matrix'!$D$2:$D$142,MATCH(B22,'Rule Matrix'!$A$2:$A$142,0)))</f>
        <v>s.16, Rule 36(1)(b)</v>
      </c>
      <c r="F22" s="6" t="str">
        <f aca="false">IF(B22="","",INDEX('Rule Matrix'!$F$2:$F$142,MATCH(B22,'Rule Matrix'!$A$2:$A$142,0)))</f>
        <v>ITC on RCM ≤ RCM tax paid in cash in same/earlier period</v>
      </c>
      <c r="G22" s="6" t="str">
        <f aca="false">IF(B22="","",INDEX('Rule Matrix'!$G$2:$G$142,MATCH(B22,'Rule Matrix'!$A$2:$A$142,0)))</f>
        <v>ITC &gt; paid</v>
      </c>
      <c r="H22" s="6" t="str">
        <f aca="false">IF(B22="","",INDEX('Rule Matrix'!$H$2:$H$142,MATCH(B22,'Rule Matrix'!$A$2:$A$142,0)))</f>
        <v>High</v>
      </c>
      <c r="I22" s="6" t="str">
        <f aca="false">IF(B22="","",INDEX('Rule Matrix'!$J$2:$J$142,MATCH(B22,'Rule Matrix'!$A$2:$A$142,0)))</f>
        <v>Reverse</v>
      </c>
      <c r="Z22" s="22" t="str">
        <f aca="false">Applicability!A16</f>
        <v>C-01</v>
      </c>
      <c r="AA22" s="22" t="n">
        <f aca="false">IF($Z$5=0,0,IF(AND(INDEX(Applicability!$E$16:$O$16,1,$Z$5)="Y",OR(Applicability!$D$16="",IFERROR(INDEX($B$4:$F$4,MATCH(Applicability!$D$16,$B$3:$F$3,0)),"N")="Y")),1,0))</f>
        <v>1</v>
      </c>
      <c r="AB22" s="22" t="n">
        <f aca="false">IF(AA22=1,SUM(AA$8:AA22),"")</f>
        <v>14</v>
      </c>
    </row>
    <row r="23" customFormat="false" ht="15" hidden="false" customHeight="false" outlineLevel="0" collapsed="false">
      <c r="A23" s="6" t="n">
        <f aca="false">IF(16&gt;$B$5,"",16)</f>
        <v>16</v>
      </c>
      <c r="B23" s="6" t="str">
        <f aca="false">IF(A23="","",INDEX($Z$8:$Z$148,MATCH(A23,$AB$8:$AB$148,0)))</f>
        <v>C-03</v>
      </c>
      <c r="C23" s="6" t="str">
        <f aca="false">IF(B23="","",INDEX('Rule Matrix'!$B$2:$B$142,MATCH(B23,'Rule Matrix'!$A$2:$A$142,0)))</f>
        <v>C. RCM</v>
      </c>
      <c r="D23" s="6" t="str">
        <f aca="false">IF(B23="","",INDEX('Rule Matrix'!$C$2:$C$142,MATCH(B23,'Rule Matrix'!$A$2:$A$142,0)))</f>
        <v>RCM self-invoice</v>
      </c>
      <c r="E23" s="6" t="str">
        <f aca="false">IF(B23="","",INDEX('Rule Matrix'!$D$2:$D$142,MATCH(B23,'Rule Matrix'!$A$2:$A$142,0)))</f>
        <v>s.31(3)(f), Rule 47A</v>
      </c>
      <c r="F23" s="6" t="str">
        <f aca="false">IF(B23="","",INDEX('Rule Matrix'!$F$2:$F$142,MATCH(B23,'Rule Matrix'!$A$2:$A$142,0)))</f>
        <v>Self-invoice issued within 30 days of receipt of supply</v>
      </c>
      <c r="G23" s="6" t="str">
        <f aca="false">IF(B23="","",INDEX('Rule Matrix'!$G$2:$G$142,MATCH(B23,'Rule Matrix'!$A$2:$A$142,0)))</f>
        <v>Delay</v>
      </c>
      <c r="H23" s="6" t="str">
        <f aca="false">IF(B23="","",INDEX('Rule Matrix'!$H$2:$H$142,MATCH(B23,'Rule Matrix'!$A$2:$A$142,0)))</f>
        <v>Low</v>
      </c>
      <c r="I23" s="6" t="str">
        <f aca="false">IF(B23="","",INDEX('Rule Matrix'!$J$2:$J$142,MATCH(B23,'Rule Matrix'!$A$2:$A$142,0)))</f>
        <v>Issue self-invoices</v>
      </c>
      <c r="Z23" s="22" t="str">
        <f aca="false">Applicability!A17</f>
        <v>C-02</v>
      </c>
      <c r="AA23" s="22" t="n">
        <f aca="false">IF($Z$5=0,0,IF(AND(INDEX(Applicability!$E$17:$O$17,1,$Z$5)="Y",OR(Applicability!$D$17="",IFERROR(INDEX($B$4:$F$4,MATCH(Applicability!$D$17,$B$3:$F$3,0)),"N")="Y")),1,0))</f>
        <v>1</v>
      </c>
      <c r="AB23" s="22" t="n">
        <f aca="false">IF(AA23=1,SUM(AA$8:AA23),"")</f>
        <v>15</v>
      </c>
    </row>
    <row r="24" customFormat="false" ht="22.35" hidden="false" customHeight="false" outlineLevel="0" collapsed="false">
      <c r="A24" s="6" t="n">
        <f aca="false">IF(17&gt;$B$5,"",17)</f>
        <v>17</v>
      </c>
      <c r="B24" s="6" t="str">
        <f aca="false">IF(A24="","",INDEX($Z$8:$Z$148,MATCH(A24,$AB$8:$AB$148,0)))</f>
        <v>D-01</v>
      </c>
      <c r="C24" s="6" t="str">
        <f aca="false">IF(B24="","",INDEX('Rule Matrix'!$B$2:$B$142,MATCH(B24,'Rule Matrix'!$A$2:$A$142,0)))</f>
        <v>D. Place of Supply</v>
      </c>
      <c r="D24" s="6" t="str">
        <f aca="false">IF(B24="","",INDEX('Rule Matrix'!$C$2:$C$142,MATCH(B24,'Rule Matrix'!$A$2:$A$142,0)))</f>
        <v>Tax head vs state codes</v>
      </c>
      <c r="E24" s="6" t="str">
        <f aca="false">IF(B24="","",INDEX('Rule Matrix'!$D$2:$D$142,MATCH(B24,'Rule Matrix'!$A$2:$A$142,0)))</f>
        <v>IGST s.7, 8</v>
      </c>
      <c r="F24" s="6" t="str">
        <f aca="false">IF(B24="","",INDEX('Rule Matrix'!$F$2:$F$142,MATCH(B24,'Rule Matrix'!$A$2:$A$142,0)))</f>
        <v>Supplier state ≠ POS → IGST; same → CGST+SGST; mismatch flagged</v>
      </c>
      <c r="G24" s="6" t="str">
        <f aca="false">IF(B24="","",INDEX('Rule Matrix'!$G$2:$G$142,MATCH(B24,'Rule Matrix'!$A$2:$A$142,0)))</f>
        <v>Any</v>
      </c>
      <c r="H24" s="6" t="str">
        <f aca="false">IF(B24="","",INDEX('Rule Matrix'!$H$2:$H$142,MATCH(B24,'Rule Matrix'!$A$2:$A$142,0)))</f>
        <v>High</v>
      </c>
      <c r="I24" s="6" t="str">
        <f aca="false">IF(B24="","",INDEX('Rule Matrix'!$J$2:$J$142,MATCH(B24,'Rule Matrix'!$A$2:$A$142,0)))</f>
        <v>s.77 / Rule 89 refund route; correct invoices</v>
      </c>
      <c r="Z24" s="22" t="str">
        <f aca="false">Applicability!A18</f>
        <v>C-03</v>
      </c>
      <c r="AA24" s="22" t="n">
        <f aca="false">IF($Z$5=0,0,IF(AND(INDEX(Applicability!$E$18:$O$18,1,$Z$5)="Y",OR(Applicability!$D$18="",IFERROR(INDEX($B$4:$F$4,MATCH(Applicability!$D$18,$B$3:$F$3,0)),"N")="Y")),1,0))</f>
        <v>1</v>
      </c>
      <c r="AB24" s="22" t="n">
        <f aca="false">IF(AA24=1,SUM(AA$8:AA24),"")</f>
        <v>16</v>
      </c>
    </row>
    <row r="25" customFormat="false" ht="22.35" hidden="false" customHeight="false" outlineLevel="0" collapsed="false">
      <c r="A25" s="6" t="n">
        <f aca="false">IF(18&gt;$B$5,"",18)</f>
        <v>18</v>
      </c>
      <c r="B25" s="6" t="str">
        <f aca="false">IF(A25="","",INDEX($Z$8:$Z$148,MATCH(A25,$AB$8:$AB$148,0)))</f>
        <v>D-02</v>
      </c>
      <c r="C25" s="6" t="str">
        <f aca="false">IF(B25="","",INDEX('Rule Matrix'!$B$2:$B$142,MATCH(B25,'Rule Matrix'!$A$2:$A$142,0)))</f>
        <v>D. Place of Supply</v>
      </c>
      <c r="D25" s="6" t="str">
        <f aca="false">IF(B25="","",INDEX('Rule Matrix'!$C$2:$C$142,MATCH(B25,'Rule Matrix'!$A$2:$A$142,0)))</f>
        <v>Hotel/immovable property services</v>
      </c>
      <c r="E25" s="6" t="str">
        <f aca="false">IF(B25="","",INDEX('Rule Matrix'!$D$2:$D$142,MATCH(B25,'Rule Matrix'!$A$2:$A$142,0)))</f>
        <v>IGST s.12(3)</v>
      </c>
      <c r="F25" s="6" t="str">
        <f aca="false">IF(B25="","",INDEX('Rule Matrix'!$F$2:$F$142,MATCH(B25,'Rule Matrix'!$A$2:$A$142,0)))</f>
        <v>POS = location of property; out-of-state CGST/SGST → ITC not available to recipient</v>
      </c>
      <c r="G25" s="6" t="str">
        <f aca="false">IF(B25="","",INDEX('Rule Matrix'!$G$2:$G$142,MATCH(B25,'Rule Matrix'!$A$2:$A$142,0)))</f>
        <v>Any</v>
      </c>
      <c r="H25" s="6" t="str">
        <f aca="false">IF(B25="","",INDEX('Rule Matrix'!$H$2:$H$142,MATCH(B25,'Rule Matrix'!$A$2:$A$142,0)))</f>
        <v>Med</v>
      </c>
      <c r="I25" s="6" t="str">
        <f aca="false">IF(B25="","",INDEX('Rule Matrix'!$J$2:$J$142,MATCH(B25,'Rule Matrix'!$A$2:$A$142,0)))</f>
        <v>Reverse; register in that state if recurring</v>
      </c>
      <c r="Z25" s="22" t="str">
        <f aca="false">Applicability!A19</f>
        <v>C-04</v>
      </c>
      <c r="AA25" s="22" t="n">
        <f aca="false">IF($Z$5=0,0,IF(AND(INDEX(Applicability!$E$19:$O$19,1,$Z$5)="Y",OR(Applicability!$D$19="",IFERROR(INDEX($B$4:$F$4,MATCH(Applicability!$D$19,$B$3:$F$3,0)),"N")="Y")),1,0))</f>
        <v>0</v>
      </c>
      <c r="AB25" s="22" t="str">
        <f aca="false">IF(AA25=1,SUM(AA$8:AA25),"")</f>
        <v/>
      </c>
    </row>
    <row r="26" customFormat="false" ht="15" hidden="false" customHeight="false" outlineLevel="0" collapsed="false">
      <c r="A26" s="6" t="n">
        <f aca="false">IF(19&gt;$B$5,"",19)</f>
        <v>19</v>
      </c>
      <c r="B26" s="6" t="str">
        <f aca="false">IF(A26="","",INDEX($Z$8:$Z$148,MATCH(A26,$AB$8:$AB$148,0)))</f>
        <v>D-03</v>
      </c>
      <c r="C26" s="6" t="str">
        <f aca="false">IF(B26="","",INDEX('Rule Matrix'!$B$2:$B$142,MATCH(B26,'Rule Matrix'!$A$2:$A$142,0)))</f>
        <v>D. Place of Supply</v>
      </c>
      <c r="D26" s="6" t="str">
        <f aca="false">IF(B26="","",INDEX('Rule Matrix'!$C$2:$C$142,MATCH(B26,'Rule Matrix'!$A$2:$A$142,0)))</f>
        <v>Restaurant/catering, training, events</v>
      </c>
      <c r="E26" s="6" t="str">
        <f aca="false">IF(B26="","",INDEX('Rule Matrix'!$D$2:$D$142,MATCH(B26,'Rule Matrix'!$A$2:$A$142,0)))</f>
        <v>IGST s.12(4)(5)(7)</v>
      </c>
      <c r="F26" s="6" t="str">
        <f aca="false">IF(B26="","",INDEX('Rule Matrix'!$F$2:$F$142,MATCH(B26,'Rule Matrix'!$A$2:$A$142,0)))</f>
        <v>Services performed in other state with other state CGST/SGST</v>
      </c>
      <c r="G26" s="6" t="str">
        <f aca="false">IF(B26="","",INDEX('Rule Matrix'!$G$2:$G$142,MATCH(B26,'Rule Matrix'!$A$2:$A$142,0)))</f>
        <v>Any</v>
      </c>
      <c r="H26" s="6" t="str">
        <f aca="false">IF(B26="","",INDEX('Rule Matrix'!$H$2:$H$142,MATCH(B26,'Rule Matrix'!$A$2:$A$142,0)))</f>
        <v>Med</v>
      </c>
      <c r="I26" s="6" t="str">
        <f aca="false">IF(B26="","",INDEX('Rule Matrix'!$J$2:$J$142,MATCH(B26,'Rule Matrix'!$A$2:$A$142,0)))</f>
        <v>Reverse</v>
      </c>
      <c r="Z26" s="22" t="str">
        <f aca="false">Applicability!A20</f>
        <v>C-05</v>
      </c>
      <c r="AA26" s="22" t="n">
        <f aca="false">IF($Z$5=0,0,IF(AND(INDEX(Applicability!$E$20:$O$20,1,$Z$5)="Y",OR(Applicability!$D$20="",IFERROR(INDEX($B$4:$F$4,MATCH(Applicability!$D$20,$B$3:$F$3,0)),"N")="Y")),1,0))</f>
        <v>0</v>
      </c>
      <c r="AB26" s="22" t="str">
        <f aca="false">IF(AA26=1,SUM(AA$8:AA26),"")</f>
        <v/>
      </c>
    </row>
    <row r="27" customFormat="false" ht="22.35" hidden="false" customHeight="false" outlineLevel="0" collapsed="false">
      <c r="A27" s="6" t="n">
        <f aca="false">IF(20&gt;$B$5,"",20)</f>
        <v>20</v>
      </c>
      <c r="B27" s="6" t="str">
        <f aca="false">IF(A27="","",INDEX($Z$8:$Z$148,MATCH(A27,$AB$8:$AB$148,0)))</f>
        <v>D-04</v>
      </c>
      <c r="C27" s="6" t="str">
        <f aca="false">IF(B27="","",INDEX('Rule Matrix'!$B$2:$B$142,MATCH(B27,'Rule Matrix'!$A$2:$A$142,0)))</f>
        <v>D. Place of Supply</v>
      </c>
      <c r="D27" s="6" t="str">
        <f aca="false">IF(B27="","",INDEX('Rule Matrix'!$C$2:$C$142,MATCH(B27,'Rule Matrix'!$A$2:$A$142,0)))</f>
        <v>Goods transport / passenger transport</v>
      </c>
      <c r="E27" s="6" t="str">
        <f aca="false">IF(B27="","",INDEX('Rule Matrix'!$D$2:$D$142,MATCH(B27,'Rule Matrix'!$A$2:$A$142,0)))</f>
        <v>IGST s.12(8)(9)</v>
      </c>
      <c r="F27" s="6" t="str">
        <f aca="false">IF(B27="","",INDEX('Rule Matrix'!$F$2:$F$142,MATCH(B27,'Rule Matrix'!$A$2:$A$142,0)))</f>
        <v>POS per recipient location (registered) / boarding point; head consistency</v>
      </c>
      <c r="G27" s="6" t="str">
        <f aca="false">IF(B27="","",INDEX('Rule Matrix'!$G$2:$G$142,MATCH(B27,'Rule Matrix'!$A$2:$A$142,0)))</f>
        <v>Any</v>
      </c>
      <c r="H27" s="6" t="str">
        <f aca="false">IF(B27="","",INDEX('Rule Matrix'!$H$2:$H$142,MATCH(B27,'Rule Matrix'!$A$2:$A$142,0)))</f>
        <v>Low</v>
      </c>
      <c r="I27" s="6" t="str">
        <f aca="false">IF(B27="","",INDEX('Rule Matrix'!$J$2:$J$142,MATCH(B27,'Rule Matrix'!$A$2:$A$142,0)))</f>
        <v>Correct</v>
      </c>
      <c r="Z27" s="22" t="str">
        <f aca="false">Applicability!A21</f>
        <v>D-01</v>
      </c>
      <c r="AA27" s="22" t="n">
        <f aca="false">IF($Z$5=0,0,IF(AND(INDEX(Applicability!$E$21:$O$21,1,$Z$5)="Y",OR(Applicability!$D$21="",IFERROR(INDEX($B$4:$F$4,MATCH(Applicability!$D$21,$B$3:$F$3,0)),"N")="Y")),1,0))</f>
        <v>1</v>
      </c>
      <c r="AB27" s="22" t="n">
        <f aca="false">IF(AA27=1,SUM(AA$8:AA27),"")</f>
        <v>17</v>
      </c>
    </row>
    <row r="28" customFormat="false" ht="15" hidden="false" customHeight="false" outlineLevel="0" collapsed="false">
      <c r="A28" s="6" t="n">
        <f aca="false">IF(21&gt;$B$5,"",21)</f>
        <v>21</v>
      </c>
      <c r="B28" s="6" t="str">
        <f aca="false">IF(A28="","",INDEX($Z$8:$Z$148,MATCH(A28,$AB$8:$AB$148,0)))</f>
        <v>D-05</v>
      </c>
      <c r="C28" s="6" t="str">
        <f aca="false">IF(B28="","",INDEX('Rule Matrix'!$B$2:$B$142,MATCH(B28,'Rule Matrix'!$A$2:$A$142,0)))</f>
        <v>D. Place of Supply</v>
      </c>
      <c r="D28" s="6" t="str">
        <f aca="false">IF(B28="","",INDEX('Rule Matrix'!$C$2:$C$142,MATCH(B28,'Rule Matrix'!$A$2:$A$142,0)))</f>
        <v>Bill-to-ship-to goods</v>
      </c>
      <c r="E28" s="6" t="str">
        <f aca="false">IF(B28="","",INDEX('Rule Matrix'!$D$2:$D$142,MATCH(B28,'Rule Matrix'!$A$2:$A$142,0)))</f>
        <v>IGST s.10(1)(b)</v>
      </c>
      <c r="F28" s="6" t="str">
        <f aca="false">IF(B28="","",INDEX('Rule Matrix'!$F$2:$F$142,MATCH(B28,'Rule Matrix'!$A$2:$A$142,0)))</f>
        <v>POS = principal place of 'bill-to' party; verify tax head</v>
      </c>
      <c r="G28" s="6" t="str">
        <f aca="false">IF(B28="","",INDEX('Rule Matrix'!$G$2:$G$142,MATCH(B28,'Rule Matrix'!$A$2:$A$142,0)))</f>
        <v>Any</v>
      </c>
      <c r="H28" s="6" t="str">
        <f aca="false">IF(B28="","",INDEX('Rule Matrix'!$H$2:$H$142,MATCH(B28,'Rule Matrix'!$A$2:$A$142,0)))</f>
        <v>Med</v>
      </c>
      <c r="I28" s="6" t="str">
        <f aca="false">IF(B28="","",INDEX('Rule Matrix'!$J$2:$J$142,MATCH(B28,'Rule Matrix'!$A$2:$A$142,0)))</f>
        <v>Correct</v>
      </c>
      <c r="Z28" s="22" t="str">
        <f aca="false">Applicability!A22</f>
        <v>D-02</v>
      </c>
      <c r="AA28" s="22" t="n">
        <f aca="false">IF($Z$5=0,0,IF(AND(INDEX(Applicability!$E$22:$O$22,1,$Z$5)="Y",OR(Applicability!$D$22="",IFERROR(INDEX($B$4:$F$4,MATCH(Applicability!$D$22,$B$3:$F$3,0)),"N")="Y")),1,0))</f>
        <v>1</v>
      </c>
      <c r="AB28" s="22" t="n">
        <f aca="false">IF(AA28=1,SUM(AA$8:AA28),"")</f>
        <v>18</v>
      </c>
    </row>
    <row r="29" customFormat="false" ht="22.35" hidden="false" customHeight="false" outlineLevel="0" collapsed="false">
      <c r="A29" s="6" t="n">
        <f aca="false">IF(22&gt;$B$5,"",22)</f>
        <v>22</v>
      </c>
      <c r="B29" s="6" t="str">
        <f aca="false">IF(A29="","",INDEX($Z$8:$Z$148,MATCH(A29,$AB$8:$AB$148,0)))</f>
        <v>D-06</v>
      </c>
      <c r="C29" s="6" t="str">
        <f aca="false">IF(B29="","",INDEX('Rule Matrix'!$B$2:$B$142,MATCH(B29,'Rule Matrix'!$A$2:$A$142,0)))</f>
        <v>D. Place of Supply</v>
      </c>
      <c r="D29" s="6" t="str">
        <f aca="false">IF(B29="","",INDEX('Rule Matrix'!$C$2:$C$142,MATCH(B29,'Rule Matrix'!$A$2:$A$142,0)))</f>
        <v>B2C recipient address</v>
      </c>
      <c r="E29" s="6" t="str">
        <f aca="false">IF(B29="","",INDEX('Rule Matrix'!$D$2:$D$142,MATCH(B29,'Rule Matrix'!$A$2:$A$142,0)))</f>
        <v>IGST s.10(1)(ca)</v>
      </c>
      <c r="F29" s="6" t="str">
        <f aca="false">IF(B29="","",INDEX('Rule Matrix'!$F$2:$F$142,MATCH(B29,'Rule Matrix'!$A$2:$A$142,0)))</f>
        <v>B2C inter-state: recipient state recorded; else POS = supplier location</v>
      </c>
      <c r="G29" s="6" t="str">
        <f aca="false">IF(B29="","",INDEX('Rule Matrix'!$G$2:$G$142,MATCH(B29,'Rule Matrix'!$A$2:$A$142,0)))</f>
        <v>Missing</v>
      </c>
      <c r="H29" s="6" t="str">
        <f aca="false">IF(B29="","",INDEX('Rule Matrix'!$H$2:$H$142,MATCH(B29,'Rule Matrix'!$A$2:$A$142,0)))</f>
        <v>Low</v>
      </c>
      <c r="I29" s="6" t="str">
        <f aca="false">IF(B29="","",INDEX('Rule Matrix'!$J$2:$J$142,MATCH(B29,'Rule Matrix'!$A$2:$A$142,0)))</f>
        <v>Capture address</v>
      </c>
      <c r="Z29" s="22" t="str">
        <f aca="false">Applicability!A23</f>
        <v>D-03</v>
      </c>
      <c r="AA29" s="22" t="n">
        <f aca="false">IF($Z$5=0,0,IF(AND(INDEX(Applicability!$E$23:$O$23,1,$Z$5)="Y",OR(Applicability!$D$23="",IFERROR(INDEX($B$4:$F$4,MATCH(Applicability!$D$23,$B$3:$F$3,0)),"N")="Y")),1,0))</f>
        <v>1</v>
      </c>
      <c r="AB29" s="22" t="n">
        <f aca="false">IF(AA29=1,SUM(AA$8:AA29),"")</f>
        <v>19</v>
      </c>
    </row>
    <row r="30" customFormat="false" ht="22.35" hidden="false" customHeight="false" outlineLevel="0" collapsed="false">
      <c r="A30" s="6" t="n">
        <f aca="false">IF(23&gt;$B$5,"",23)</f>
        <v>23</v>
      </c>
      <c r="B30" s="6" t="str">
        <f aca="false">IF(A30="","",INDEX($Z$8:$Z$148,MATCH(A30,$AB$8:$AB$148,0)))</f>
        <v>E-01</v>
      </c>
      <c r="C30" s="6" t="str">
        <f aca="false">IF(B30="","",INDEX('Rule Matrix'!$B$2:$B$142,MATCH(B30,'Rule Matrix'!$A$2:$A$142,0)))</f>
        <v>E. Blocked Credits s.17(5)</v>
      </c>
      <c r="D30" s="6" t="str">
        <f aca="false">IF(B30="","",INDEX('Rule Matrix'!$C$2:$C$142,MATCH(B30,'Rule Matrix'!$A$2:$A$142,0)))</f>
        <v>Motor vehicles ≤13 seats</v>
      </c>
      <c r="E30" s="6" t="str">
        <f aca="false">IF(B30="","",INDEX('Rule Matrix'!$D$2:$D$142,MATCH(B30,'Rule Matrix'!$A$2:$A$142,0)))</f>
        <v>s.17(5)(a),(ab)</v>
      </c>
      <c r="F30" s="6" t="str">
        <f aca="false">IF(B30="","",INDEX('Rule Matrix'!$F$2:$F$142,MATCH(B30,'Rule Matrix'!$A$2:$A$142,0)))</f>
        <v>ITC on cars and their repairs/insurance unless used for further supply, passenger transport, driving training</v>
      </c>
      <c r="G30" s="6" t="str">
        <f aca="false">IF(B30="","",INDEX('Rule Matrix'!$G$2:$G$142,MATCH(B30,'Rule Matrix'!$A$2:$A$142,0)))</f>
        <v>Any</v>
      </c>
      <c r="H30" s="6" t="str">
        <f aca="false">IF(B30="","",INDEX('Rule Matrix'!$H$2:$H$142,MATCH(B30,'Rule Matrix'!$A$2:$A$142,0)))</f>
        <v>High</v>
      </c>
      <c r="I30" s="6" t="str">
        <f aca="false">IF(B30="","",INDEX('Rule Matrix'!$J$2:$J$142,MATCH(B30,'Rule Matrix'!$A$2:$A$142,0)))</f>
        <v>Reverse</v>
      </c>
      <c r="Z30" s="22" t="str">
        <f aca="false">Applicability!A24</f>
        <v>D-04</v>
      </c>
      <c r="AA30" s="22" t="n">
        <f aca="false">IF($Z$5=0,0,IF(AND(INDEX(Applicability!$E$24:$O$24,1,$Z$5)="Y",OR(Applicability!$D$24="",IFERROR(INDEX($B$4:$F$4,MATCH(Applicability!$D$24,$B$3:$F$3,0)),"N")="Y")),1,0))</f>
        <v>1</v>
      </c>
      <c r="AB30" s="22" t="n">
        <f aca="false">IF(AA30=1,SUM(AA$8:AA30),"")</f>
        <v>20</v>
      </c>
    </row>
    <row r="31" customFormat="false" ht="15" hidden="false" customHeight="false" outlineLevel="0" collapsed="false">
      <c r="A31" s="6" t="n">
        <f aca="false">IF(24&gt;$B$5,"",24)</f>
        <v>24</v>
      </c>
      <c r="B31" s="6" t="str">
        <f aca="false">IF(A31="","",INDEX($Z$8:$Z$148,MATCH(A31,$AB$8:$AB$148,0)))</f>
        <v>E-02</v>
      </c>
      <c r="C31" s="6" t="str">
        <f aca="false">IF(B31="","",INDEX('Rule Matrix'!$B$2:$B$142,MATCH(B31,'Rule Matrix'!$A$2:$A$142,0)))</f>
        <v>E. Blocked Credits s.17(5)</v>
      </c>
      <c r="D31" s="6" t="str">
        <f aca="false">IF(B31="","",INDEX('Rule Matrix'!$C$2:$C$142,MATCH(B31,'Rule Matrix'!$A$2:$A$142,0)))</f>
        <v>Vessels &amp; aircraft</v>
      </c>
      <c r="E31" s="6" t="str">
        <f aca="false">IF(B31="","",INDEX('Rule Matrix'!$D$2:$D$142,MATCH(B31,'Rule Matrix'!$A$2:$A$142,0)))</f>
        <v>s.17(5)(aa),(ab)</v>
      </c>
      <c r="F31" s="6" t="str">
        <f aca="false">IF(B31="","",INDEX('Rule Matrix'!$F$2:$F$142,MATCH(B31,'Rule Matrix'!$A$2:$A$142,0)))</f>
        <v>ITC except permitted uses</v>
      </c>
      <c r="G31" s="6" t="str">
        <f aca="false">IF(B31="","",INDEX('Rule Matrix'!$G$2:$G$142,MATCH(B31,'Rule Matrix'!$A$2:$A$142,0)))</f>
        <v>Any</v>
      </c>
      <c r="H31" s="6" t="str">
        <f aca="false">IF(B31="","",INDEX('Rule Matrix'!$H$2:$H$142,MATCH(B31,'Rule Matrix'!$A$2:$A$142,0)))</f>
        <v>High</v>
      </c>
      <c r="I31" s="6" t="str">
        <f aca="false">IF(B31="","",INDEX('Rule Matrix'!$J$2:$J$142,MATCH(B31,'Rule Matrix'!$A$2:$A$142,0)))</f>
        <v>Reverse</v>
      </c>
      <c r="Z31" s="22" t="str">
        <f aca="false">Applicability!A25</f>
        <v>D-05</v>
      </c>
      <c r="AA31" s="22" t="n">
        <f aca="false">IF($Z$5=0,0,IF(AND(INDEX(Applicability!$E$25:$O$25,1,$Z$5)="Y",OR(Applicability!$D$25="",IFERROR(INDEX($B$4:$F$4,MATCH(Applicability!$D$25,$B$3:$F$3,0)),"N")="Y")),1,0))</f>
        <v>1</v>
      </c>
      <c r="AB31" s="22" t="n">
        <f aca="false">IF(AA31=1,SUM(AA$8:AA31),"")</f>
        <v>21</v>
      </c>
    </row>
    <row r="32" customFormat="false" ht="15" hidden="false" customHeight="false" outlineLevel="0" collapsed="false">
      <c r="A32" s="6" t="n">
        <f aca="false">IF(25&gt;$B$5,"",25)</f>
        <v>25</v>
      </c>
      <c r="B32" s="6" t="str">
        <f aca="false">IF(A32="","",INDEX($Z$8:$Z$148,MATCH(A32,$AB$8:$AB$148,0)))</f>
        <v>E-03</v>
      </c>
      <c r="C32" s="6" t="str">
        <f aca="false">IF(B32="","",INDEX('Rule Matrix'!$B$2:$B$142,MATCH(B32,'Rule Matrix'!$A$2:$A$142,0)))</f>
        <v>E. Blocked Credits s.17(5)</v>
      </c>
      <c r="D32" s="6" t="str">
        <f aca="false">IF(B32="","",INDEX('Rule Matrix'!$C$2:$C$142,MATCH(B32,'Rule Matrix'!$A$2:$A$142,0)))</f>
        <v>Food, beverages, outdoor catering</v>
      </c>
      <c r="E32" s="6" t="str">
        <f aca="false">IF(B32="","",INDEX('Rule Matrix'!$D$2:$D$142,MATCH(B32,'Rule Matrix'!$A$2:$A$142,0)))</f>
        <v>s.17(5)(b)(i)</v>
      </c>
      <c r="F32" s="6" t="str">
        <f aca="false">IF(B32="","",INDEX('Rule Matrix'!$F$2:$F$142,MATCH(B32,'Rule Matrix'!$A$2:$A$142,0)))</f>
        <v>ITC unless obligatory under law or same line of outward supply</v>
      </c>
      <c r="G32" s="6" t="str">
        <f aca="false">IF(B32="","",INDEX('Rule Matrix'!$G$2:$G$142,MATCH(B32,'Rule Matrix'!$A$2:$A$142,0)))</f>
        <v>Any</v>
      </c>
      <c r="H32" s="6" t="str">
        <f aca="false">IF(B32="","",INDEX('Rule Matrix'!$H$2:$H$142,MATCH(B32,'Rule Matrix'!$A$2:$A$142,0)))</f>
        <v>High</v>
      </c>
      <c r="I32" s="6" t="str">
        <f aca="false">IF(B32="","",INDEX('Rule Matrix'!$J$2:$J$142,MATCH(B32,'Rule Matrix'!$A$2:$A$142,0)))</f>
        <v>Reverse</v>
      </c>
      <c r="Z32" s="22" t="str">
        <f aca="false">Applicability!A26</f>
        <v>D-06</v>
      </c>
      <c r="AA32" s="22" t="n">
        <f aca="false">IF($Z$5=0,0,IF(AND(INDEX(Applicability!$E$26:$O$26,1,$Z$5)="Y",OR(Applicability!$D$26="",IFERROR(INDEX($B$4:$F$4,MATCH(Applicability!$D$26,$B$3:$F$3,0)),"N")="Y")),1,0))</f>
        <v>1</v>
      </c>
      <c r="AB32" s="22" t="n">
        <f aca="false">IF(AA32=1,SUM(AA$8:AA32),"")</f>
        <v>22</v>
      </c>
    </row>
    <row r="33" customFormat="false" ht="32.8" hidden="false" customHeight="false" outlineLevel="0" collapsed="false">
      <c r="A33" s="6" t="n">
        <f aca="false">IF(26&gt;$B$5,"",26)</f>
        <v>26</v>
      </c>
      <c r="B33" s="6" t="str">
        <f aca="false">IF(A33="","",INDEX($Z$8:$Z$148,MATCH(A33,$AB$8:$AB$148,0)))</f>
        <v>E-04</v>
      </c>
      <c r="C33" s="6" t="str">
        <f aca="false">IF(B33="","",INDEX('Rule Matrix'!$B$2:$B$142,MATCH(B33,'Rule Matrix'!$A$2:$A$142,0)))</f>
        <v>E. Blocked Credits s.17(5)</v>
      </c>
      <c r="D33" s="6" t="str">
        <f aca="false">IF(B33="","",INDEX('Rule Matrix'!$C$2:$C$142,MATCH(B33,'Rule Matrix'!$A$2:$A$142,0)))</f>
        <v>Beauty, health, cosmetic surgery</v>
      </c>
      <c r="E33" s="6" t="str">
        <f aca="false">IF(B33="","",INDEX('Rule Matrix'!$D$2:$D$142,MATCH(B33,'Rule Matrix'!$A$2:$A$142,0)))</f>
        <v>s.17(5)(b)(i)</v>
      </c>
      <c r="F33" s="6" t="str">
        <f aca="false">IF(B33="","",INDEX('Rule Matrix'!$F$2:$F$142,MATCH(B33,'Rule Matrix'!$A$2:$A$142,0)))</f>
        <v>Blocked unless same line of outward supply. Note: beauty/wellness now 5% without ITC w.e.f. 22.09.2025 (Notfn 15/2025-CT(R))</v>
      </c>
      <c r="G33" s="6" t="str">
        <f aca="false">IF(B33="","",INDEX('Rule Matrix'!$G$2:$G$142,MATCH(B33,'Rule Matrix'!$A$2:$A$142,0)))</f>
        <v>Any</v>
      </c>
      <c r="H33" s="6" t="str">
        <f aca="false">IF(B33="","",INDEX('Rule Matrix'!$H$2:$H$142,MATCH(B33,'Rule Matrix'!$A$2:$A$142,0)))</f>
        <v>Med</v>
      </c>
      <c r="I33" s="6" t="str">
        <f aca="false">IF(B33="","",INDEX('Rule Matrix'!$J$2:$J$142,MATCH(B33,'Rule Matrix'!$A$2:$A$142,0)))</f>
        <v>Reverse</v>
      </c>
      <c r="Z33" s="22" t="str">
        <f aca="false">Applicability!A27</f>
        <v>D-07</v>
      </c>
      <c r="AA33" s="22" t="n">
        <f aca="false">IF($Z$5=0,0,IF(AND(INDEX(Applicability!$E$27:$O$27,1,$Z$5)="Y",OR(Applicability!$D$27="",IFERROR(INDEX($B$4:$F$4,MATCH(Applicability!$D$27,$B$3:$F$3,0)),"N")="Y")),1,0))</f>
        <v>0</v>
      </c>
      <c r="AB33" s="22" t="str">
        <f aca="false">IF(AA33=1,SUM(AA$8:AA33),"")</f>
        <v/>
      </c>
    </row>
    <row r="34" customFormat="false" ht="32.8" hidden="false" customHeight="false" outlineLevel="0" collapsed="false">
      <c r="A34" s="6" t="n">
        <f aca="false">IF(27&gt;$B$5,"",27)</f>
        <v>27</v>
      </c>
      <c r="B34" s="6" t="str">
        <f aca="false">IF(A34="","",INDEX($Z$8:$Z$148,MATCH(A34,$AB$8:$AB$148,0)))</f>
        <v>E-05</v>
      </c>
      <c r="C34" s="6" t="str">
        <f aca="false">IF(B34="","",INDEX('Rule Matrix'!$B$2:$B$142,MATCH(B34,'Rule Matrix'!$A$2:$A$142,0)))</f>
        <v>E. Blocked Credits s.17(5)</v>
      </c>
      <c r="D34" s="6" t="str">
        <f aca="false">IF(B34="","",INDEX('Rule Matrix'!$C$2:$C$142,MATCH(B34,'Rule Matrix'!$A$2:$A$142,0)))</f>
        <v>Life &amp; health insurance</v>
      </c>
      <c r="E34" s="6" t="str">
        <f aca="false">IF(B34="","",INDEX('Rule Matrix'!$D$2:$D$142,MATCH(B34,'Rule Matrix'!$A$2:$A$142,0)))</f>
        <v>s.17(5)(b)(i)</v>
      </c>
      <c r="F34" s="6" t="str">
        <f aca="false">IF(B34="","",INDEX('Rule Matrix'!$F$2:$F$142,MATCH(B34,'Rule Matrix'!$A$2:$A$142,0)))</f>
        <v>Individual life &amp; health policies exempt w.e.f. 22.09.2025 (no ITC issue). Group / employer policies: ITC blocked unless obligatory under law (s.17(5)(b) proviso)</v>
      </c>
      <c r="G34" s="6" t="str">
        <f aca="false">IF(B34="","",INDEX('Rule Matrix'!$G$2:$G$142,MATCH(B34,'Rule Matrix'!$A$2:$A$142,0)))</f>
        <v>Any</v>
      </c>
      <c r="H34" s="6" t="str">
        <f aca="false">IF(B34="","",INDEX('Rule Matrix'!$H$2:$H$142,MATCH(B34,'Rule Matrix'!$A$2:$A$142,0)))</f>
        <v>Med</v>
      </c>
      <c r="I34" s="6" t="str">
        <f aca="false">IF(B34="","",INDEX('Rule Matrix'!$J$2:$J$142,MATCH(B34,'Rule Matrix'!$A$2:$A$142,0)))</f>
        <v>Reverse</v>
      </c>
      <c r="Z34" s="22" t="str">
        <f aca="false">Applicability!A28</f>
        <v>D-08</v>
      </c>
      <c r="AA34" s="22" t="n">
        <f aca="false">IF($Z$5=0,0,IF(AND(INDEX(Applicability!$E$28:$O$28,1,$Z$5)="Y",OR(Applicability!$D$28="",IFERROR(INDEX($B$4:$F$4,MATCH(Applicability!$D$28,$B$3:$F$3,0)),"N")="Y")),1,0))</f>
        <v>0</v>
      </c>
      <c r="AB34" s="22" t="str">
        <f aca="false">IF(AA34=1,SUM(AA$8:AA34),"")</f>
        <v/>
      </c>
    </row>
    <row r="35" customFormat="false" ht="15" hidden="false" customHeight="false" outlineLevel="0" collapsed="false">
      <c r="A35" s="6" t="n">
        <f aca="false">IF(28&gt;$B$5,"",28)</f>
        <v>28</v>
      </c>
      <c r="B35" s="6" t="str">
        <f aca="false">IF(A35="","",INDEX($Z$8:$Z$148,MATCH(A35,$AB$8:$AB$148,0)))</f>
        <v>E-06</v>
      </c>
      <c r="C35" s="6" t="str">
        <f aca="false">IF(B35="","",INDEX('Rule Matrix'!$B$2:$B$142,MATCH(B35,'Rule Matrix'!$A$2:$A$142,0)))</f>
        <v>E. Blocked Credits s.17(5)</v>
      </c>
      <c r="D35" s="6" t="str">
        <f aca="false">IF(B35="","",INDEX('Rule Matrix'!$C$2:$C$142,MATCH(B35,'Rule Matrix'!$A$2:$A$142,0)))</f>
        <v>Club / fitness membership</v>
      </c>
      <c r="E35" s="6" t="str">
        <f aca="false">IF(B35="","",INDEX('Rule Matrix'!$D$2:$D$142,MATCH(B35,'Rule Matrix'!$A$2:$A$142,0)))</f>
        <v>s.17(5)(b)(ii)</v>
      </c>
      <c r="F35" s="6" t="str">
        <f aca="false">IF(B35="","",INDEX('Rule Matrix'!$F$2:$F$142,MATCH(B35,'Rule Matrix'!$A$2:$A$142,0)))</f>
        <v>Any ITC</v>
      </c>
      <c r="G35" s="6" t="str">
        <f aca="false">IF(B35="","",INDEX('Rule Matrix'!$G$2:$G$142,MATCH(B35,'Rule Matrix'!$A$2:$A$142,0)))</f>
        <v>Any</v>
      </c>
      <c r="H35" s="6" t="str">
        <f aca="false">IF(B35="","",INDEX('Rule Matrix'!$H$2:$H$142,MATCH(B35,'Rule Matrix'!$A$2:$A$142,0)))</f>
        <v>Med</v>
      </c>
      <c r="I35" s="6" t="str">
        <f aca="false">IF(B35="","",INDEX('Rule Matrix'!$J$2:$J$142,MATCH(B35,'Rule Matrix'!$A$2:$A$142,0)))</f>
        <v>Reverse</v>
      </c>
      <c r="Z35" s="22" t="str">
        <f aca="false">Applicability!A29</f>
        <v>E-01</v>
      </c>
      <c r="AA35" s="22" t="n">
        <f aca="false">IF($Z$5=0,0,IF(AND(INDEX(Applicability!$E$29:$O$29,1,$Z$5)="Y",OR(Applicability!$D$29="",IFERROR(INDEX($B$4:$F$4,MATCH(Applicability!$D$29,$B$3:$F$3,0)),"N")="Y")),1,0))</f>
        <v>1</v>
      </c>
      <c r="AB35" s="22" t="n">
        <f aca="false">IF(AA35=1,SUM(AA$8:AA35),"")</f>
        <v>23</v>
      </c>
    </row>
    <row r="36" customFormat="false" ht="15" hidden="false" customHeight="false" outlineLevel="0" collapsed="false">
      <c r="A36" s="6" t="n">
        <f aca="false">IF(29&gt;$B$5,"",29)</f>
        <v>29</v>
      </c>
      <c r="B36" s="6" t="str">
        <f aca="false">IF(A36="","",INDEX($Z$8:$Z$148,MATCH(A36,$AB$8:$AB$148,0)))</f>
        <v>E-07</v>
      </c>
      <c r="C36" s="6" t="str">
        <f aca="false">IF(B36="","",INDEX('Rule Matrix'!$B$2:$B$142,MATCH(B36,'Rule Matrix'!$A$2:$A$142,0)))</f>
        <v>E. Blocked Credits s.17(5)</v>
      </c>
      <c r="D36" s="6" t="str">
        <f aca="false">IF(B36="","",INDEX('Rule Matrix'!$C$2:$C$142,MATCH(B36,'Rule Matrix'!$A$2:$A$142,0)))</f>
        <v>Rent-a-cab</v>
      </c>
      <c r="E36" s="6" t="str">
        <f aca="false">IF(B36="","",INDEX('Rule Matrix'!$D$2:$D$142,MATCH(B36,'Rule Matrix'!$A$2:$A$142,0)))</f>
        <v>s.17(5)(b)(i)</v>
      </c>
      <c r="F36" s="6" t="str">
        <f aca="false">IF(B36="","",INDEX('Rule Matrix'!$F$2:$F$142,MATCH(B36,'Rule Matrix'!$A$2:$A$142,0)))</f>
        <v>Cab hire ITC unless obligatory / same outward supply</v>
      </c>
      <c r="G36" s="6" t="str">
        <f aca="false">IF(B36="","",INDEX('Rule Matrix'!$G$2:$G$142,MATCH(B36,'Rule Matrix'!$A$2:$A$142,0)))</f>
        <v>Any</v>
      </c>
      <c r="H36" s="6" t="str">
        <f aca="false">IF(B36="","",INDEX('Rule Matrix'!$H$2:$H$142,MATCH(B36,'Rule Matrix'!$A$2:$A$142,0)))</f>
        <v>Med</v>
      </c>
      <c r="I36" s="6" t="str">
        <f aca="false">IF(B36="","",INDEX('Rule Matrix'!$J$2:$J$142,MATCH(B36,'Rule Matrix'!$A$2:$A$142,0)))</f>
        <v>Reverse</v>
      </c>
      <c r="Z36" s="22" t="str">
        <f aca="false">Applicability!A30</f>
        <v>E-02</v>
      </c>
      <c r="AA36" s="22" t="n">
        <f aca="false">IF($Z$5=0,0,IF(AND(INDEX(Applicability!$E$30:$O$30,1,$Z$5)="Y",OR(Applicability!$D$30="",IFERROR(INDEX($B$4:$F$4,MATCH(Applicability!$D$30,$B$3:$F$3,0)),"N")="Y")),1,0))</f>
        <v>1</v>
      </c>
      <c r="AB36" s="22" t="n">
        <f aca="false">IF(AA36=1,SUM(AA$8:AA36),"")</f>
        <v>24</v>
      </c>
    </row>
    <row r="37" customFormat="false" ht="22.35" hidden="false" customHeight="false" outlineLevel="0" collapsed="false">
      <c r="A37" s="6" t="n">
        <f aca="false">IF(30&gt;$B$5,"",30)</f>
        <v>30</v>
      </c>
      <c r="B37" s="6" t="str">
        <f aca="false">IF(A37="","",INDEX($Z$8:$Z$148,MATCH(A37,$AB$8:$AB$148,0)))</f>
        <v>E-08</v>
      </c>
      <c r="C37" s="6" t="str">
        <f aca="false">IF(B37="","",INDEX('Rule Matrix'!$B$2:$B$142,MATCH(B37,'Rule Matrix'!$A$2:$A$142,0)))</f>
        <v>E. Blocked Credits s.17(5)</v>
      </c>
      <c r="D37" s="6" t="str">
        <f aca="false">IF(B37="","",INDEX('Rule Matrix'!$C$2:$C$142,MATCH(B37,'Rule Matrix'!$A$2:$A$142,0)))</f>
        <v>Employee travel benefits (LTC/vacation)</v>
      </c>
      <c r="E37" s="6" t="str">
        <f aca="false">IF(B37="","",INDEX('Rule Matrix'!$D$2:$D$142,MATCH(B37,'Rule Matrix'!$A$2:$A$142,0)))</f>
        <v>s.17(5)(b)(iii)</v>
      </c>
      <c r="F37" s="6" t="str">
        <f aca="false">IF(B37="","",INDEX('Rule Matrix'!$F$2:$F$142,MATCH(B37,'Rule Matrix'!$A$2:$A$142,0)))</f>
        <v>Any ITC</v>
      </c>
      <c r="G37" s="6" t="str">
        <f aca="false">IF(B37="","",INDEX('Rule Matrix'!$G$2:$G$142,MATCH(B37,'Rule Matrix'!$A$2:$A$142,0)))</f>
        <v>Any</v>
      </c>
      <c r="H37" s="6" t="str">
        <f aca="false">IF(B37="","",INDEX('Rule Matrix'!$H$2:$H$142,MATCH(B37,'Rule Matrix'!$A$2:$A$142,0)))</f>
        <v>Med</v>
      </c>
      <c r="I37" s="6" t="str">
        <f aca="false">IF(B37="","",INDEX('Rule Matrix'!$J$2:$J$142,MATCH(B37,'Rule Matrix'!$A$2:$A$142,0)))</f>
        <v>Reverse</v>
      </c>
      <c r="Z37" s="22" t="str">
        <f aca="false">Applicability!A31</f>
        <v>E-03</v>
      </c>
      <c r="AA37" s="22" t="n">
        <f aca="false">IF($Z$5=0,0,IF(AND(INDEX(Applicability!$E$31:$O$31,1,$Z$5)="Y",OR(Applicability!$D$31="",IFERROR(INDEX($B$4:$F$4,MATCH(Applicability!$D$31,$B$3:$F$3,0)),"N")="Y")),1,0))</f>
        <v>1</v>
      </c>
      <c r="AB37" s="22" t="n">
        <f aca="false">IF(AA37=1,SUM(AA$8:AA37),"")</f>
        <v>25</v>
      </c>
    </row>
    <row r="38" customFormat="false" ht="32.8" hidden="false" customHeight="false" outlineLevel="0" collapsed="false">
      <c r="A38" s="6" t="n">
        <f aca="false">IF(31&gt;$B$5,"",31)</f>
        <v>31</v>
      </c>
      <c r="B38" s="6" t="str">
        <f aca="false">IF(A38="","",INDEX($Z$8:$Z$148,MATCH(A38,$AB$8:$AB$148,0)))</f>
        <v>E-09</v>
      </c>
      <c r="C38" s="6" t="str">
        <f aca="false">IF(B38="","",INDEX('Rule Matrix'!$B$2:$B$142,MATCH(B38,'Rule Matrix'!$A$2:$A$142,0)))</f>
        <v>E. Blocked Credits s.17(5)</v>
      </c>
      <c r="D38" s="6" t="str">
        <f aca="false">IF(B38="","",INDEX('Rule Matrix'!$C$2:$C$142,MATCH(B38,'Rule Matrix'!$A$2:$A$142,0)))</f>
        <v>Works contract – immovable property</v>
      </c>
      <c r="E38" s="6" t="str">
        <f aca="false">IF(B38="","",INDEX('Rule Matrix'!$D$2:$D$142,MATCH(B38,'Rule Matrix'!$A$2:$A$142,0)))</f>
        <v>s.17(5)(c)</v>
      </c>
      <c r="F38" s="6" t="str">
        <f aca="false">IF(B38="","",INDEX('Rule Matrix'!$F$2:$F$142,MATCH(B38,'Rule Matrix'!$A$2:$A$142,0)))</f>
        <v>ITC on works contract services for construction of immovable property (other than 'plant and machinery') blocked, except where it is input service for further supply of works contract</v>
      </c>
      <c r="G38" s="6" t="str">
        <f aca="false">IF(B38="","",INDEX('Rule Matrix'!$G$2:$G$142,MATCH(B38,'Rule Matrix'!$A$2:$A$142,0)))</f>
        <v>Any</v>
      </c>
      <c r="H38" s="6" t="str">
        <f aca="false">IF(B38="","",INDEX('Rule Matrix'!$H$2:$H$142,MATCH(B38,'Rule Matrix'!$A$2:$A$142,0)))</f>
        <v>High</v>
      </c>
      <c r="I38" s="6" t="str">
        <f aca="false">IF(B38="","",INDEX('Rule Matrix'!$J$2:$J$142,MATCH(B38,'Rule Matrix'!$A$2:$A$142,0)))</f>
        <v>Reverse</v>
      </c>
      <c r="Z38" s="22" t="str">
        <f aca="false">Applicability!A32</f>
        <v>E-04</v>
      </c>
      <c r="AA38" s="22" t="n">
        <f aca="false">IF($Z$5=0,0,IF(AND(INDEX(Applicability!$E$32:$O$32,1,$Z$5)="Y",OR(Applicability!$D$32="",IFERROR(INDEX($B$4:$F$4,MATCH(Applicability!$D$32,$B$3:$F$3,0)),"N")="Y")),1,0))</f>
        <v>1</v>
      </c>
      <c r="AB38" s="22" t="n">
        <f aca="false">IF(AA38=1,SUM(AA$8:AA38),"")</f>
        <v>26</v>
      </c>
    </row>
    <row r="39" customFormat="false" ht="43.25" hidden="false" customHeight="false" outlineLevel="0" collapsed="false">
      <c r="A39" s="6" t="n">
        <f aca="false">IF(32&gt;$B$5,"",32)</f>
        <v>32</v>
      </c>
      <c r="B39" s="6" t="str">
        <f aca="false">IF(A39="","",INDEX($Z$8:$Z$148,MATCH(A39,$AB$8:$AB$148,0)))</f>
        <v>E-10</v>
      </c>
      <c r="C39" s="6" t="str">
        <f aca="false">IF(B39="","",INDEX('Rule Matrix'!$B$2:$B$142,MATCH(B39,'Rule Matrix'!$A$2:$A$142,0)))</f>
        <v>E. Blocked Credits s.17(5)</v>
      </c>
      <c r="D39" s="6" t="str">
        <f aca="false">IF(B39="","",INDEX('Rule Matrix'!$C$2:$C$142,MATCH(B39,'Rule Matrix'!$A$2:$A$142,0)))</f>
        <v>Construction on own account</v>
      </c>
      <c r="E39" s="6" t="str">
        <f aca="false">IF(B39="","",INDEX('Rule Matrix'!$D$2:$D$142,MATCH(B39,'Rule Matrix'!$A$2:$A$142,0)))</f>
        <v>s.17(5)(d); Expl. 2 inserted by FA 2025 (retro 01.07.2017)</v>
      </c>
      <c r="F39" s="6" t="str">
        <f aca="false">IF(B39="","",INDEX('Rule Matrix'!$F$2:$F$142,MATCH(B39,'Rule Matrix'!$A$2:$A$142,0)))</f>
        <v>'plant or machinery' substituted by 'plant and machinery' retrospectively from 01.07.2017 – overrides functionality test of Safari Retreats (SC, 03.10.2024). Flag building/civil ITC even where property is let out</v>
      </c>
      <c r="G39" s="6" t="str">
        <f aca="false">IF(B39="","",INDEX('Rule Matrix'!$G$2:$G$142,MATCH(B39,'Rule Matrix'!$A$2:$A$142,0)))</f>
        <v>Any</v>
      </c>
      <c r="H39" s="6" t="str">
        <f aca="false">IF(B39="","",INDEX('Rule Matrix'!$H$2:$H$142,MATCH(B39,'Rule Matrix'!$A$2:$A$142,0)))</f>
        <v>High</v>
      </c>
      <c r="I39" s="6" t="str">
        <f aca="false">IF(B39="","",INDEX('Rule Matrix'!$J$2:$J$142,MATCH(B39,'Rule Matrix'!$A$2:$A$142,0)))</f>
        <v>Reverse</v>
      </c>
      <c r="Z39" s="22" t="str">
        <f aca="false">Applicability!A33</f>
        <v>E-05</v>
      </c>
      <c r="AA39" s="22" t="n">
        <f aca="false">IF($Z$5=0,0,IF(AND(INDEX(Applicability!$E$33:$O$33,1,$Z$5)="Y",OR(Applicability!$D$33="",IFERROR(INDEX($B$4:$F$4,MATCH(Applicability!$D$33,$B$3:$F$3,0)),"N")="Y")),1,0))</f>
        <v>1</v>
      </c>
      <c r="AB39" s="22" t="n">
        <f aca="false">IF(AA39=1,SUM(AA$8:AA39),"")</f>
        <v>27</v>
      </c>
    </row>
    <row r="40" customFormat="false" ht="22.35" hidden="false" customHeight="false" outlineLevel="0" collapsed="false">
      <c r="A40" s="6" t="n">
        <f aca="false">IF(33&gt;$B$5,"",33)</f>
        <v>33</v>
      </c>
      <c r="B40" s="6" t="str">
        <f aca="false">IF(A40="","",INDEX($Z$8:$Z$148,MATCH(A40,$AB$8:$AB$148,0)))</f>
        <v>E-11</v>
      </c>
      <c r="C40" s="6" t="str">
        <f aca="false">IF(B40="","",INDEX('Rule Matrix'!$B$2:$B$142,MATCH(B40,'Rule Matrix'!$A$2:$A$142,0)))</f>
        <v>E. Blocked Credits s.17(5)</v>
      </c>
      <c r="D40" s="6" t="str">
        <f aca="false">IF(B40="","",INDEX('Rule Matrix'!$C$2:$C$142,MATCH(B40,'Rule Matrix'!$A$2:$A$142,0)))</f>
        <v>Composition tax / NRTP</v>
      </c>
      <c r="E40" s="6" t="str">
        <f aca="false">IF(B40="","",INDEX('Rule Matrix'!$D$2:$D$142,MATCH(B40,'Rule Matrix'!$A$2:$A$142,0)))</f>
        <v>s.17(5)(e),(f)</v>
      </c>
      <c r="F40" s="6" t="str">
        <f aca="false">IF(B40="","",INDEX('Rule Matrix'!$F$2:$F$142,MATCH(B40,'Rule Matrix'!$A$2:$A$142,0)))</f>
        <v>ITC on goods/services where tax paid under composition or by NRTP (except imports)</v>
      </c>
      <c r="G40" s="6" t="str">
        <f aca="false">IF(B40="","",INDEX('Rule Matrix'!$G$2:$G$142,MATCH(B40,'Rule Matrix'!$A$2:$A$142,0)))</f>
        <v>Any</v>
      </c>
      <c r="H40" s="6" t="str">
        <f aca="false">IF(B40="","",INDEX('Rule Matrix'!$H$2:$H$142,MATCH(B40,'Rule Matrix'!$A$2:$A$142,0)))</f>
        <v>Med</v>
      </c>
      <c r="I40" s="6" t="str">
        <f aca="false">IF(B40="","",INDEX('Rule Matrix'!$J$2:$J$142,MATCH(B40,'Rule Matrix'!$A$2:$A$142,0)))</f>
        <v>Reverse</v>
      </c>
      <c r="Z40" s="22" t="str">
        <f aca="false">Applicability!A34</f>
        <v>E-06</v>
      </c>
      <c r="AA40" s="22" t="n">
        <f aca="false">IF($Z$5=0,0,IF(AND(INDEX(Applicability!$E$34:$O$34,1,$Z$5)="Y",OR(Applicability!$D$34="",IFERROR(INDEX($B$4:$F$4,MATCH(Applicability!$D$34,$B$3:$F$3,0)),"N")="Y")),1,0))</f>
        <v>1</v>
      </c>
      <c r="AB40" s="22" t="n">
        <f aca="false">IF(AA40=1,SUM(AA$8:AA40),"")</f>
        <v>28</v>
      </c>
    </row>
    <row r="41" customFormat="false" ht="15" hidden="false" customHeight="false" outlineLevel="0" collapsed="false">
      <c r="A41" s="6" t="n">
        <f aca="false">IF(34&gt;$B$5,"",34)</f>
        <v>34</v>
      </c>
      <c r="B41" s="6" t="str">
        <f aca="false">IF(A41="","",INDEX($Z$8:$Z$148,MATCH(A41,$AB$8:$AB$148,0)))</f>
        <v>E-12</v>
      </c>
      <c r="C41" s="6" t="str">
        <f aca="false">IF(B41="","",INDEX('Rule Matrix'!$B$2:$B$142,MATCH(B41,'Rule Matrix'!$A$2:$A$142,0)))</f>
        <v>E. Blocked Credits s.17(5)</v>
      </c>
      <c r="D41" s="6" t="str">
        <f aca="false">IF(B41="","",INDEX('Rule Matrix'!$C$2:$C$142,MATCH(B41,'Rule Matrix'!$A$2:$A$142,0)))</f>
        <v>CSR expenditure</v>
      </c>
      <c r="E41" s="6" t="str">
        <f aca="false">IF(B41="","",INDEX('Rule Matrix'!$D$2:$D$142,MATCH(B41,'Rule Matrix'!$A$2:$A$142,0)))</f>
        <v>s.17(5)(fa)</v>
      </c>
      <c r="F41" s="6" t="str">
        <f aca="false">IF(B41="","",INDEX('Rule Matrix'!$F$2:$F$142,MATCH(B41,'Rule Matrix'!$A$2:$A$142,0)))</f>
        <v>ITC on CSR spend (from 1.10.2023)</v>
      </c>
      <c r="G41" s="6" t="str">
        <f aca="false">IF(B41="","",INDEX('Rule Matrix'!$G$2:$G$142,MATCH(B41,'Rule Matrix'!$A$2:$A$142,0)))</f>
        <v>Any</v>
      </c>
      <c r="H41" s="6" t="str">
        <f aca="false">IF(B41="","",INDEX('Rule Matrix'!$H$2:$H$142,MATCH(B41,'Rule Matrix'!$A$2:$A$142,0)))</f>
        <v>High</v>
      </c>
      <c r="I41" s="6" t="str">
        <f aca="false">IF(B41="","",INDEX('Rule Matrix'!$J$2:$J$142,MATCH(B41,'Rule Matrix'!$A$2:$A$142,0)))</f>
        <v>Reverse</v>
      </c>
      <c r="Z41" s="22" t="str">
        <f aca="false">Applicability!A35</f>
        <v>E-07</v>
      </c>
      <c r="AA41" s="22" t="n">
        <f aca="false">IF($Z$5=0,0,IF(AND(INDEX(Applicability!$E$35:$O$35,1,$Z$5)="Y",OR(Applicability!$D$35="",IFERROR(INDEX($B$4:$F$4,MATCH(Applicability!$D$35,$B$3:$F$3,0)),"N")="Y")),1,0))</f>
        <v>1</v>
      </c>
      <c r="AB41" s="22" t="n">
        <f aca="false">IF(AA41=1,SUM(AA$8:AA41),"")</f>
        <v>29</v>
      </c>
    </row>
    <row r="42" customFormat="false" ht="15" hidden="false" customHeight="false" outlineLevel="0" collapsed="false">
      <c r="A42" s="6" t="n">
        <f aca="false">IF(35&gt;$B$5,"",35)</f>
        <v>35</v>
      </c>
      <c r="B42" s="6" t="str">
        <f aca="false">IF(A42="","",INDEX($Z$8:$Z$148,MATCH(A42,$AB$8:$AB$148,0)))</f>
        <v>E-13</v>
      </c>
      <c r="C42" s="6" t="str">
        <f aca="false">IF(B42="","",INDEX('Rule Matrix'!$B$2:$B$142,MATCH(B42,'Rule Matrix'!$A$2:$A$142,0)))</f>
        <v>E. Blocked Credits s.17(5)</v>
      </c>
      <c r="D42" s="6" t="str">
        <f aca="false">IF(B42="","",INDEX('Rule Matrix'!$C$2:$C$142,MATCH(B42,'Rule Matrix'!$A$2:$A$142,0)))</f>
        <v>Personal consumption</v>
      </c>
      <c r="E42" s="6" t="str">
        <f aca="false">IF(B42="","",INDEX('Rule Matrix'!$D$2:$D$142,MATCH(B42,'Rule Matrix'!$A$2:$A$142,0)))</f>
        <v>s.17(5)(g)</v>
      </c>
      <c r="F42" s="6" t="str">
        <f aca="false">IF(B42="","",INDEX('Rule Matrix'!$F$2:$F$142,MATCH(B42,'Rule Matrix'!$A$2:$A$142,0)))</f>
        <v>Director/employee personal expenses</v>
      </c>
      <c r="G42" s="6" t="str">
        <f aca="false">IF(B42="","",INDEX('Rule Matrix'!$G$2:$G$142,MATCH(B42,'Rule Matrix'!$A$2:$A$142,0)))</f>
        <v>Any</v>
      </c>
      <c r="H42" s="6" t="str">
        <f aca="false">IF(B42="","",INDEX('Rule Matrix'!$H$2:$H$142,MATCH(B42,'Rule Matrix'!$A$2:$A$142,0)))</f>
        <v>Med</v>
      </c>
      <c r="I42" s="6" t="str">
        <f aca="false">IF(B42="","",INDEX('Rule Matrix'!$J$2:$J$142,MATCH(B42,'Rule Matrix'!$A$2:$A$142,0)))</f>
        <v>Reverse</v>
      </c>
      <c r="Z42" s="22" t="str">
        <f aca="false">Applicability!A36</f>
        <v>E-08</v>
      </c>
      <c r="AA42" s="22" t="n">
        <f aca="false">IF($Z$5=0,0,IF(AND(INDEX(Applicability!$E$36:$O$36,1,$Z$5)="Y",OR(Applicability!$D$36="",IFERROR(INDEX($B$4:$F$4,MATCH(Applicability!$D$36,$B$3:$F$3,0)),"N")="Y")),1,0))</f>
        <v>1</v>
      </c>
      <c r="AB42" s="22" t="n">
        <f aca="false">IF(AA42=1,SUM(AA$8:AA42),"")</f>
        <v>30</v>
      </c>
    </row>
    <row r="43" customFormat="false" ht="22.35" hidden="false" customHeight="false" outlineLevel="0" collapsed="false">
      <c r="A43" s="6" t="n">
        <f aca="false">IF(36&gt;$B$5,"",36)</f>
        <v>36</v>
      </c>
      <c r="B43" s="6" t="str">
        <f aca="false">IF(A43="","",INDEX($Z$8:$Z$148,MATCH(A43,$AB$8:$AB$148,0)))</f>
        <v>E-14</v>
      </c>
      <c r="C43" s="6" t="str">
        <f aca="false">IF(B43="","",INDEX('Rule Matrix'!$B$2:$B$142,MATCH(B43,'Rule Matrix'!$A$2:$A$142,0)))</f>
        <v>E. Blocked Credits s.17(5)</v>
      </c>
      <c r="D43" s="6" t="str">
        <f aca="false">IF(B43="","",INDEX('Rule Matrix'!$C$2:$C$142,MATCH(B43,'Rule Matrix'!$A$2:$A$142,0)))</f>
        <v>Lost/stolen/destroyed/written off/gifts/samples</v>
      </c>
      <c r="E43" s="6" t="str">
        <f aca="false">IF(B43="","",INDEX('Rule Matrix'!$D$2:$D$142,MATCH(B43,'Rule Matrix'!$A$2:$A$142,0)))</f>
        <v>s.17(5)(h)</v>
      </c>
      <c r="F43" s="6" t="str">
        <f aca="false">IF(B43="","",INDEX('Rule Matrix'!$F$2:$F$142,MATCH(B43,'Rule Matrix'!$A$2:$A$142,0)))</f>
        <v>ITC on inputs so disposed; free samples/gifts</v>
      </c>
      <c r="G43" s="6" t="str">
        <f aca="false">IF(B43="","",INDEX('Rule Matrix'!$G$2:$G$142,MATCH(B43,'Rule Matrix'!$A$2:$A$142,0)))</f>
        <v>Any</v>
      </c>
      <c r="H43" s="6" t="str">
        <f aca="false">IF(B43="","",INDEX('Rule Matrix'!$H$2:$H$142,MATCH(B43,'Rule Matrix'!$A$2:$A$142,0)))</f>
        <v>High</v>
      </c>
      <c r="I43" s="6" t="str">
        <f aca="false">IF(B43="","",INDEX('Rule Matrix'!$J$2:$J$142,MATCH(B43,'Rule Matrix'!$A$2:$A$142,0)))</f>
        <v>Reverse (Circular 92/2019)</v>
      </c>
      <c r="Z43" s="22" t="str">
        <f aca="false">Applicability!A37</f>
        <v>E-09</v>
      </c>
      <c r="AA43" s="22" t="n">
        <f aca="false">IF($Z$5=0,0,IF(AND(INDEX(Applicability!$E$37:$O$37,1,$Z$5)="Y",OR(Applicability!$D$37="",IFERROR(INDEX($B$4:$F$4,MATCH(Applicability!$D$37,$B$3:$F$3,0)),"N")="Y")),1,0))</f>
        <v>1</v>
      </c>
      <c r="AB43" s="22" t="n">
        <f aca="false">IF(AA43=1,SUM(AA$8:AA43),"")</f>
        <v>31</v>
      </c>
    </row>
    <row r="44" customFormat="false" ht="15" hidden="false" customHeight="false" outlineLevel="0" collapsed="false">
      <c r="A44" s="6" t="n">
        <f aca="false">IF(37&gt;$B$5,"",37)</f>
        <v>37</v>
      </c>
      <c r="B44" s="6" t="str">
        <f aca="false">IF(A44="","",INDEX($Z$8:$Z$148,MATCH(A44,$AB$8:$AB$148,0)))</f>
        <v>E-15</v>
      </c>
      <c r="C44" s="6" t="str">
        <f aca="false">IF(B44="","",INDEX('Rule Matrix'!$B$2:$B$142,MATCH(B44,'Rule Matrix'!$A$2:$A$142,0)))</f>
        <v>E. Blocked Credits s.17(5)</v>
      </c>
      <c r="D44" s="6" t="str">
        <f aca="false">IF(B44="","",INDEX('Rule Matrix'!$C$2:$C$142,MATCH(B44,'Rule Matrix'!$A$2:$A$142,0)))</f>
        <v>Tax paid under s.74/74A</v>
      </c>
      <c r="E44" s="6" t="str">
        <f aca="false">IF(B44="","",INDEX('Rule Matrix'!$D$2:$D$142,MATCH(B44,'Rule Matrix'!$A$2:$A$142,0)))</f>
        <v>s.17(5)(i)</v>
      </c>
      <c r="F44" s="6" t="str">
        <f aca="false">IF(B44="","",INDEX('Rule Matrix'!$F$2:$F$142,MATCH(B44,'Rule Matrix'!$A$2:$A$142,0)))</f>
        <v>ITC claimed on tax paid in fraud proceedings</v>
      </c>
      <c r="G44" s="6" t="str">
        <f aca="false">IF(B44="","",INDEX('Rule Matrix'!$G$2:$G$142,MATCH(B44,'Rule Matrix'!$A$2:$A$142,0)))</f>
        <v>Any</v>
      </c>
      <c r="H44" s="6" t="str">
        <f aca="false">IF(B44="","",INDEX('Rule Matrix'!$H$2:$H$142,MATCH(B44,'Rule Matrix'!$A$2:$A$142,0)))</f>
        <v>Med</v>
      </c>
      <c r="I44" s="6" t="str">
        <f aca="false">IF(B44="","",INDEX('Rule Matrix'!$J$2:$J$142,MATCH(B44,'Rule Matrix'!$A$2:$A$142,0)))</f>
        <v>Reverse</v>
      </c>
      <c r="Z44" s="22" t="str">
        <f aca="false">Applicability!A38</f>
        <v>E-10</v>
      </c>
      <c r="AA44" s="22" t="n">
        <f aca="false">IF($Z$5=0,0,IF(AND(INDEX(Applicability!$E$38:$O$38,1,$Z$5)="Y",OR(Applicability!$D$38="",IFERROR(INDEX($B$4:$F$4,MATCH(Applicability!$D$38,$B$3:$F$3,0)),"N")="Y")),1,0))</f>
        <v>1</v>
      </c>
      <c r="AB44" s="22" t="n">
        <f aca="false">IF(AA44=1,SUM(AA$8:AA44),"")</f>
        <v>32</v>
      </c>
    </row>
    <row r="45" customFormat="false" ht="22.35" hidden="false" customHeight="false" outlineLevel="0" collapsed="false">
      <c r="A45" s="6" t="n">
        <f aca="false">IF(38&gt;$B$5,"",38)</f>
        <v>38</v>
      </c>
      <c r="B45" s="6" t="str">
        <f aca="false">IF(A45="","",INDEX($Z$8:$Z$148,MATCH(A45,$AB$8:$AB$148,0)))</f>
        <v>F-01</v>
      </c>
      <c r="C45" s="6" t="str">
        <f aca="false">IF(B45="","",INDEX('Rule Matrix'!$B$2:$B$142,MATCH(B45,'Rule Matrix'!$A$2:$A$142,0)))</f>
        <v>F. Reversals &amp; Apportionment</v>
      </c>
      <c r="D45" s="6" t="str">
        <f aca="false">IF(B45="","",INDEX('Rule Matrix'!$C$2:$C$142,MATCH(B45,'Rule Matrix'!$A$2:$A$142,0)))</f>
        <v>Common credit – exempt turnover</v>
      </c>
      <c r="E45" s="6" t="str">
        <f aca="false">IF(B45="","",INDEX('Rule Matrix'!$D$2:$D$142,MATCH(B45,'Rule Matrix'!$A$2:$A$142,0)))</f>
        <v>s.17(2), Rule 42/43</v>
      </c>
      <c r="F45" s="6" t="str">
        <f aca="false">IF(B45="","",INDEX('Rule Matrix'!$F$2:$F$142,MATCH(B45,'Rule Matrix'!$A$2:$A$142,0)))</f>
        <v>Compute D1/D2/C3; exempt T/O incl. land/building sale, securities @1% of sale value, interest (non-banks)</v>
      </c>
      <c r="G45" s="6" t="str">
        <f aca="false">IF(B45="","",INDEX('Rule Matrix'!$G$2:$G$142,MATCH(B45,'Rule Matrix'!$A$2:$A$142,0)))</f>
        <v>Diff &gt; ₹1,000</v>
      </c>
      <c r="H45" s="6" t="str">
        <f aca="false">IF(B45="","",INDEX('Rule Matrix'!$H$2:$H$142,MATCH(B45,'Rule Matrix'!$A$2:$A$142,0)))</f>
        <v>High</v>
      </c>
      <c r="I45" s="6" t="str">
        <f aca="false">IF(B45="","",INDEX('Rule Matrix'!$J$2:$J$142,MATCH(B45,'Rule Matrix'!$A$2:$A$142,0)))</f>
        <v>Reverse; annual true-up by Sept return</v>
      </c>
      <c r="Z45" s="22" t="str">
        <f aca="false">Applicability!A39</f>
        <v>E-11</v>
      </c>
      <c r="AA45" s="22" t="n">
        <f aca="false">IF($Z$5=0,0,IF(AND(INDEX(Applicability!$E$39:$O$39,1,$Z$5)="Y",OR(Applicability!$D$39="",IFERROR(INDEX($B$4:$F$4,MATCH(Applicability!$D$39,$B$3:$F$3,0)),"N")="Y")),1,0))</f>
        <v>1</v>
      </c>
      <c r="AB45" s="22" t="n">
        <f aca="false">IF(AA45=1,SUM(AA$8:AA45),"")</f>
        <v>33</v>
      </c>
    </row>
    <row r="46" customFormat="false" ht="22.35" hidden="false" customHeight="false" outlineLevel="0" collapsed="false">
      <c r="A46" s="6" t="n">
        <f aca="false">IF(39&gt;$B$5,"",39)</f>
        <v>39</v>
      </c>
      <c r="B46" s="6" t="str">
        <f aca="false">IF(A46="","",INDEX($Z$8:$Z$148,MATCH(A46,$AB$8:$AB$148,0)))</f>
        <v>F-02</v>
      </c>
      <c r="C46" s="6" t="str">
        <f aca="false">IF(B46="","",INDEX('Rule Matrix'!$B$2:$B$142,MATCH(B46,'Rule Matrix'!$A$2:$A$142,0)))</f>
        <v>F. Reversals &amp; Apportionment</v>
      </c>
      <c r="D46" s="6" t="str">
        <f aca="false">IF(B46="","",INDEX('Rule Matrix'!$C$2:$C$142,MATCH(B46,'Rule Matrix'!$A$2:$A$142,0)))</f>
        <v>Non-business use</v>
      </c>
      <c r="E46" s="6" t="str">
        <f aca="false">IF(B46="","",INDEX('Rule Matrix'!$D$2:$D$142,MATCH(B46,'Rule Matrix'!$A$2:$A$142,0)))</f>
        <v>s.17(1)</v>
      </c>
      <c r="F46" s="6" t="str">
        <f aca="false">IF(B46="","",INDEX('Rule Matrix'!$F$2:$F$142,MATCH(B46,'Rule Matrix'!$A$2:$A$142,0)))</f>
        <v>Common ITC used for non-business purposes (D1 5%-type computation)</v>
      </c>
      <c r="G46" s="6" t="str">
        <f aca="false">IF(B46="","",INDEX('Rule Matrix'!$G$2:$G$142,MATCH(B46,'Rule Matrix'!$A$2:$A$142,0)))</f>
        <v>Any</v>
      </c>
      <c r="H46" s="6" t="str">
        <f aca="false">IF(B46="","",INDEX('Rule Matrix'!$H$2:$H$142,MATCH(B46,'Rule Matrix'!$A$2:$A$142,0)))</f>
        <v>Med</v>
      </c>
      <c r="I46" s="6" t="str">
        <f aca="false">IF(B46="","",INDEX('Rule Matrix'!$J$2:$J$142,MATCH(B46,'Rule Matrix'!$A$2:$A$142,0)))</f>
        <v>Reverse</v>
      </c>
      <c r="Z46" s="22" t="str">
        <f aca="false">Applicability!A40</f>
        <v>E-12</v>
      </c>
      <c r="AA46" s="22" t="n">
        <f aca="false">IF($Z$5=0,0,IF(AND(INDEX(Applicability!$E$40:$O$40,1,$Z$5)="Y",OR(Applicability!$D$40="",IFERROR(INDEX($B$4:$F$4,MATCH(Applicability!$D$40,$B$3:$F$3,0)),"N")="Y")),1,0))</f>
        <v>1</v>
      </c>
      <c r="AB46" s="22" t="n">
        <f aca="false">IF(AA46=1,SUM(AA$8:AA46),"")</f>
        <v>34</v>
      </c>
    </row>
    <row r="47" customFormat="false" ht="22.35" hidden="false" customHeight="false" outlineLevel="0" collapsed="false">
      <c r="A47" s="6" t="n">
        <f aca="false">IF(40&gt;$B$5,"",40)</f>
        <v>40</v>
      </c>
      <c r="B47" s="6" t="str">
        <f aca="false">IF(A47="","",INDEX($Z$8:$Z$148,MATCH(A47,$AB$8:$AB$148,0)))</f>
        <v>F-04</v>
      </c>
      <c r="C47" s="6" t="str">
        <f aca="false">IF(B47="","",INDEX('Rule Matrix'!$B$2:$B$142,MATCH(B47,'Rule Matrix'!$A$2:$A$142,0)))</f>
        <v>F. Reversals &amp; Apportionment</v>
      </c>
      <c r="D47" s="6" t="str">
        <f aca="false">IF(B47="","",INDEX('Rule Matrix'!$C$2:$C$142,MATCH(B47,'Rule Matrix'!$A$2:$A$142,0)))</f>
        <v>Capital goods sold within 5 yrs</v>
      </c>
      <c r="E47" s="6" t="str">
        <f aca="false">IF(B47="","",INDEX('Rule Matrix'!$D$2:$D$142,MATCH(B47,'Rule Matrix'!$A$2:$A$142,0)))</f>
        <v>s.18(6), Rule 44(6)</v>
      </c>
      <c r="F47" s="6" t="str">
        <f aca="false">IF(B47="","",INDEX('Rule Matrix'!$F$2:$F$142,MATCH(B47,'Rule Matrix'!$A$2:$A$142,0)))</f>
        <v>Pay higher of ITC reduced 5%/quarter or tax on transaction value</v>
      </c>
      <c r="G47" s="6" t="str">
        <f aca="false">IF(B47="","",INDEX('Rule Matrix'!$G$2:$G$142,MATCH(B47,'Rule Matrix'!$A$2:$A$142,0)))</f>
        <v>Any</v>
      </c>
      <c r="H47" s="6" t="str">
        <f aca="false">IF(B47="","",INDEX('Rule Matrix'!$H$2:$H$142,MATCH(B47,'Rule Matrix'!$A$2:$A$142,0)))</f>
        <v>Med</v>
      </c>
      <c r="I47" s="6" t="str">
        <f aca="false">IF(B47="","",INDEX('Rule Matrix'!$J$2:$J$142,MATCH(B47,'Rule Matrix'!$A$2:$A$142,0)))</f>
        <v>Pay difference</v>
      </c>
      <c r="Z47" s="22" t="str">
        <f aca="false">Applicability!A41</f>
        <v>E-13</v>
      </c>
      <c r="AA47" s="22" t="n">
        <f aca="false">IF($Z$5=0,0,IF(AND(INDEX(Applicability!$E$41:$O$41,1,$Z$5)="Y",OR(Applicability!$D$41="",IFERROR(INDEX($B$4:$F$4,MATCH(Applicability!$D$41,$B$3:$F$3,0)),"N")="Y")),1,0))</f>
        <v>1</v>
      </c>
      <c r="AB47" s="22" t="n">
        <f aca="false">IF(AA47=1,SUM(AA$8:AA47),"")</f>
        <v>35</v>
      </c>
    </row>
    <row r="48" customFormat="false" ht="22.35" hidden="false" customHeight="false" outlineLevel="0" collapsed="false">
      <c r="A48" s="6" t="n">
        <f aca="false">IF(41&gt;$B$5,"",41)</f>
        <v>41</v>
      </c>
      <c r="B48" s="6" t="str">
        <f aca="false">IF(A48="","",INDEX($Z$8:$Z$148,MATCH(A48,$AB$8:$AB$148,0)))</f>
        <v>F-05</v>
      </c>
      <c r="C48" s="6" t="str">
        <f aca="false">IF(B48="","",INDEX('Rule Matrix'!$B$2:$B$142,MATCH(B48,'Rule Matrix'!$A$2:$A$142,0)))</f>
        <v>F. Reversals &amp; Apportionment</v>
      </c>
      <c r="D48" s="6" t="str">
        <f aca="false">IF(B48="","",INDEX('Rule Matrix'!$C$2:$C$142,MATCH(B48,'Rule Matrix'!$A$2:$A$142,0)))</f>
        <v>Registration cancellation / composition switch</v>
      </c>
      <c r="E48" s="6" t="str">
        <f aca="false">IF(B48="","",INDEX('Rule Matrix'!$D$2:$D$142,MATCH(B48,'Rule Matrix'!$A$2:$A$142,0)))</f>
        <v>s.18(4), s.29(5), Rule 44</v>
      </c>
      <c r="F48" s="6" t="str">
        <f aca="false">IF(B48="","",INDEX('Rule Matrix'!$F$2:$F$142,MATCH(B48,'Rule Matrix'!$A$2:$A$142,0)))</f>
        <v>ITC on stock &amp; capital goods reversed</v>
      </c>
      <c r="G48" s="6" t="str">
        <f aca="false">IF(B48="","",INDEX('Rule Matrix'!$G$2:$G$142,MATCH(B48,'Rule Matrix'!$A$2:$A$142,0)))</f>
        <v>Any</v>
      </c>
      <c r="H48" s="6" t="str">
        <f aca="false">IF(B48="","",INDEX('Rule Matrix'!$H$2:$H$142,MATCH(B48,'Rule Matrix'!$A$2:$A$142,0)))</f>
        <v>High</v>
      </c>
      <c r="I48" s="6" t="str">
        <f aca="false">IF(B48="","",INDEX('Rule Matrix'!$J$2:$J$142,MATCH(B48,'Rule Matrix'!$A$2:$A$142,0)))</f>
        <v>ITC-03 / GSTR-10</v>
      </c>
      <c r="Z48" s="22" t="str">
        <f aca="false">Applicability!A42</f>
        <v>E-14</v>
      </c>
      <c r="AA48" s="22" t="n">
        <f aca="false">IF($Z$5=0,0,IF(AND(INDEX(Applicability!$E$42:$O$42,1,$Z$5)="Y",OR(Applicability!$D$42="",IFERROR(INDEX($B$4:$F$4,MATCH(Applicability!$D$42,$B$3:$F$3,0)),"N")="Y")),1,0))</f>
        <v>1</v>
      </c>
      <c r="AB48" s="22" t="n">
        <f aca="false">IF(AA48=1,SUM(AA$8:AA48),"")</f>
        <v>36</v>
      </c>
    </row>
    <row r="49" customFormat="false" ht="22.35" hidden="false" customHeight="false" outlineLevel="0" collapsed="false">
      <c r="A49" s="6" t="n">
        <f aca="false">IF(42&gt;$B$5,"",42)</f>
        <v>42</v>
      </c>
      <c r="B49" s="6" t="str">
        <f aca="false">IF(A49="","",INDEX($Z$8:$Z$148,MATCH(A49,$AB$8:$AB$148,0)))</f>
        <v>F-06</v>
      </c>
      <c r="C49" s="6" t="str">
        <f aca="false">IF(B49="","",INDEX('Rule Matrix'!$B$2:$B$142,MATCH(B49,'Rule Matrix'!$A$2:$A$142,0)))</f>
        <v>F. Reversals &amp; Apportionment</v>
      </c>
      <c r="D49" s="6" t="str">
        <f aca="false">IF(B49="","",INDEX('Rule Matrix'!$C$2:$C$142,MATCH(B49,'Rule Matrix'!$A$2:$A$142,0)))</f>
        <v>Rule 86B cash payment</v>
      </c>
      <c r="E49" s="6" t="str">
        <f aca="false">IF(B49="","",INDEX('Rule Matrix'!$D$2:$D$142,MATCH(B49,'Rule Matrix'!$A$2:$A$142,0)))</f>
        <v>Rule 86B</v>
      </c>
      <c r="F49" s="6" t="str">
        <f aca="false">IF(B49="","",INDEX('Rule Matrix'!$F$2:$F$142,MATCH(B49,'Rule Matrix'!$A$2:$A$142,0)))</f>
        <v>Taxable T/O &gt; ₹50 lakh/month: min 1% cash unless exemption</v>
      </c>
      <c r="G49" s="6" t="str">
        <f aca="false">IF(B49="","",INDEX('Rule Matrix'!$G$2:$G$142,MATCH(B49,'Rule Matrix'!$A$2:$A$142,0)))</f>
        <v>Breach</v>
      </c>
      <c r="H49" s="6" t="str">
        <f aca="false">IF(B49="","",INDEX('Rule Matrix'!$H$2:$H$142,MATCH(B49,'Rule Matrix'!$A$2:$A$142,0)))</f>
        <v>Med</v>
      </c>
      <c r="I49" s="6" t="str">
        <f aca="false">IF(B49="","",INDEX('Rule Matrix'!$J$2:$J$142,MATCH(B49,'Rule Matrix'!$A$2:$A$142,0)))</f>
        <v>Pay in cash</v>
      </c>
      <c r="Z49" s="22" t="str">
        <f aca="false">Applicability!A43</f>
        <v>E-15</v>
      </c>
      <c r="AA49" s="22" t="n">
        <f aca="false">IF($Z$5=0,0,IF(AND(INDEX(Applicability!$E$43:$O$43,1,$Z$5)="Y",OR(Applicability!$D$43="",IFERROR(INDEX($B$4:$F$4,MATCH(Applicability!$D$43,$B$3:$F$3,0)),"N")="Y")),1,0))</f>
        <v>1</v>
      </c>
      <c r="AB49" s="22" t="n">
        <f aca="false">IF(AA49=1,SUM(AA$8:AA49),"")</f>
        <v>37</v>
      </c>
    </row>
    <row r="50" customFormat="false" ht="22.35" hidden="false" customHeight="false" outlineLevel="0" collapsed="false">
      <c r="A50" s="6" t="n">
        <f aca="false">IF(43&gt;$B$5,"",43)</f>
        <v>43</v>
      </c>
      <c r="B50" s="6" t="str">
        <f aca="false">IF(A50="","",INDEX($Z$8:$Z$148,MATCH(A50,$AB$8:$AB$148,0)))</f>
        <v>G-01</v>
      </c>
      <c r="C50" s="6" t="str">
        <f aca="false">IF(B50="","",INDEX('Rule Matrix'!$B$2:$B$142,MATCH(B50,'Rule Matrix'!$A$2:$A$142,0)))</f>
        <v>G. Outward Supplies</v>
      </c>
      <c r="D50" s="6" t="str">
        <f aca="false">IF(B50="","",INDEX('Rule Matrix'!$C$2:$C$142,MATCH(B50,'Rule Matrix'!$A$2:$A$142,0)))</f>
        <v>Turnover reconciliation</v>
      </c>
      <c r="E50" s="6" t="str">
        <f aca="false">IF(B50="","",INDEX('Rule Matrix'!$D$2:$D$142,MATCH(B50,'Rule Matrix'!$A$2:$A$142,0)))</f>
        <v>s.35, s.44</v>
      </c>
      <c r="F50" s="6" t="str">
        <f aca="false">IF(B50="","",INDEX('Rule Matrix'!$F$2:$F$142,MATCH(B50,'Rule Matrix'!$A$2:$A$142,0)))</f>
        <v>Books = GSTR-1 = 3B = GSTR-9 (Table 4/5)</v>
      </c>
      <c r="G50" s="6" t="str">
        <f aca="false">IF(B50="","",INDEX('Rule Matrix'!$G$2:$G$142,MATCH(B50,'Rule Matrix'!$A$2:$A$142,0)))</f>
        <v>Diff &gt; ₹10,000 or 0.1%</v>
      </c>
      <c r="H50" s="6" t="str">
        <f aca="false">IF(B50="","",INDEX('Rule Matrix'!$H$2:$H$142,MATCH(B50,'Rule Matrix'!$A$2:$A$142,0)))</f>
        <v>High</v>
      </c>
      <c r="I50" s="6" t="str">
        <f aca="false">IF(B50="","",INDEX('Rule Matrix'!$J$2:$J$142,MATCH(B50,'Rule Matrix'!$A$2:$A$142,0)))</f>
        <v>Pay via DRC-03; reply DRC-01B (Rule 88C)</v>
      </c>
      <c r="Z50" s="22" t="str">
        <f aca="false">Applicability!A44</f>
        <v>F-01</v>
      </c>
      <c r="AA50" s="22" t="n">
        <f aca="false">IF($Z$5=0,0,IF(AND(INDEX(Applicability!$E$44:$O$44,1,$Z$5)="Y",OR(Applicability!$D$44="",IFERROR(INDEX($B$4:$F$4,MATCH(Applicability!$D$44,$B$3:$F$3,0)),"N")="Y")),1,0))</f>
        <v>1</v>
      </c>
      <c r="AB50" s="22" t="n">
        <f aca="false">IF(AA50=1,SUM(AA$8:AA50),"")</f>
        <v>38</v>
      </c>
    </row>
    <row r="51" customFormat="false" ht="15" hidden="false" customHeight="false" outlineLevel="0" collapsed="false">
      <c r="A51" s="6" t="n">
        <f aca="false">IF(44&gt;$B$5,"",44)</f>
        <v>44</v>
      </c>
      <c r="B51" s="6" t="str">
        <f aca="false">IF(A51="","",INDEX($Z$8:$Z$148,MATCH(A51,$AB$8:$AB$148,0)))</f>
        <v>G-02</v>
      </c>
      <c r="C51" s="6" t="str">
        <f aca="false">IF(B51="","",INDEX('Rule Matrix'!$B$2:$B$142,MATCH(B51,'Rule Matrix'!$A$2:$A$142,0)))</f>
        <v>G. Outward Supplies</v>
      </c>
      <c r="D51" s="6" t="str">
        <f aca="false">IF(B51="","",INDEX('Rule Matrix'!$C$2:$C$142,MATCH(B51,'Rule Matrix'!$A$2:$A$142,0)))</f>
        <v>GSTR-1 vs 3B liability</v>
      </c>
      <c r="E51" s="6" t="str">
        <f aca="false">IF(B51="","",INDEX('Rule Matrix'!$D$2:$D$142,MATCH(B51,'Rule Matrix'!$A$2:$A$142,0)))</f>
        <v>Rule 88C</v>
      </c>
      <c r="F51" s="6" t="str">
        <f aca="false">IF(B51="","",INDEX('Rule Matrix'!$F$2:$F$142,MATCH(B51,'Rule Matrix'!$A$2:$A$142,0)))</f>
        <v>Month-wise liability; 1 &gt; 3B</v>
      </c>
      <c r="G51" s="6" t="str">
        <f aca="false">IF(B51="","",INDEX('Rule Matrix'!$G$2:$G$142,MATCH(B51,'Rule Matrix'!$A$2:$A$142,0)))</f>
        <v>Beyond threshold</v>
      </c>
      <c r="H51" s="6" t="str">
        <f aca="false">IF(B51="","",INDEX('Rule Matrix'!$H$2:$H$142,MATCH(B51,'Rule Matrix'!$A$2:$A$142,0)))</f>
        <v>High</v>
      </c>
      <c r="I51" s="6" t="str">
        <f aca="false">IF(B51="","",INDEX('Rule Matrix'!$J$2:$J$142,MATCH(B51,'Rule Matrix'!$A$2:$A$142,0)))</f>
        <v>Pay; reply DRC-01B</v>
      </c>
      <c r="Z51" s="22" t="str">
        <f aca="false">Applicability!A45</f>
        <v>F-02</v>
      </c>
      <c r="AA51" s="22" t="n">
        <f aca="false">IF($Z$5=0,0,IF(AND(INDEX(Applicability!$E$45:$O$45,1,$Z$5)="Y",OR(Applicability!$D$45="",IFERROR(INDEX($B$4:$F$4,MATCH(Applicability!$D$45,$B$3:$F$3,0)),"N")="Y")),1,0))</f>
        <v>1</v>
      </c>
      <c r="AB51" s="22" t="n">
        <f aca="false">IF(AA51=1,SUM(AA$8:AA51),"")</f>
        <v>39</v>
      </c>
    </row>
    <row r="52" customFormat="false" ht="22.35" hidden="false" customHeight="false" outlineLevel="0" collapsed="false">
      <c r="A52" s="6" t="n">
        <f aca="false">IF(45&gt;$B$5,"",45)</f>
        <v>45</v>
      </c>
      <c r="B52" s="6" t="str">
        <f aca="false">IF(A52="","",INDEX($Z$8:$Z$148,MATCH(A52,$AB$8:$AB$148,0)))</f>
        <v>G-03</v>
      </c>
      <c r="C52" s="6" t="str">
        <f aca="false">IF(B52="","",INDEX('Rule Matrix'!$B$2:$B$142,MATCH(B52,'Rule Matrix'!$A$2:$A$142,0)))</f>
        <v>G. Outward Supplies</v>
      </c>
      <c r="D52" s="6" t="str">
        <f aca="false">IF(B52="","",INDEX('Rule Matrix'!$C$2:$C$142,MATCH(B52,'Rule Matrix'!$A$2:$A$142,0)))</f>
        <v>e-invoice vs GSTR-1</v>
      </c>
      <c r="E52" s="6" t="str">
        <f aca="false">IF(B52="","",INDEX('Rule Matrix'!$D$2:$D$142,MATCH(B52,'Rule Matrix'!$A$2:$A$142,0)))</f>
        <v>Rule 48(4)</v>
      </c>
      <c r="F52" s="6" t="str">
        <f aca="false">IF(B52="","",INDEX('Rule Matrix'!$F$2:$F$142,MATCH(B52,'Rule Matrix'!$A$2:$A$142,0)))</f>
        <v>All B2B invoices above threshold have IRN; IRN value = GSTR-1</v>
      </c>
      <c r="G52" s="6" t="str">
        <f aca="false">IF(B52="","",INDEX('Rule Matrix'!$G$2:$G$142,MATCH(B52,'Rule Matrix'!$A$2:$A$142,0)))</f>
        <v>Any</v>
      </c>
      <c r="H52" s="6" t="str">
        <f aca="false">IF(B52="","",INDEX('Rule Matrix'!$H$2:$H$142,MATCH(B52,'Rule Matrix'!$A$2:$A$142,0)))</f>
        <v>High</v>
      </c>
      <c r="I52" s="6" t="str">
        <f aca="false">IF(B52="","",INDEX('Rule Matrix'!$J$2:$J$142,MATCH(B52,'Rule Matrix'!$A$2:$A$142,0)))</f>
        <v>Generate IRN / correct</v>
      </c>
      <c r="Z52" s="22" t="str">
        <f aca="false">Applicability!A46</f>
        <v>F-03</v>
      </c>
      <c r="AA52" s="22" t="n">
        <f aca="false">IF($Z$5=0,0,IF(AND(INDEX(Applicability!$E$46:$O$46,1,$Z$5)="Y",OR(Applicability!$D$46="",IFERROR(INDEX($B$4:$F$4,MATCH(Applicability!$D$46,$B$3:$F$3,0)),"N")="Y")),1,0))</f>
        <v>0</v>
      </c>
      <c r="AB52" s="22" t="str">
        <f aca="false">IF(AA52=1,SUM(AA$8:AA52),"")</f>
        <v/>
      </c>
    </row>
    <row r="53" customFormat="false" ht="22.35" hidden="false" customHeight="false" outlineLevel="0" collapsed="false">
      <c r="A53" s="6" t="n">
        <f aca="false">IF(46&gt;$B$5,"",46)</f>
        <v>46</v>
      </c>
      <c r="B53" s="6" t="str">
        <f aca="false">IF(A53="","",INDEX($Z$8:$Z$148,MATCH(A53,$AB$8:$AB$148,0)))</f>
        <v>G-04</v>
      </c>
      <c r="C53" s="6" t="str">
        <f aca="false">IF(B53="","",INDEX('Rule Matrix'!$B$2:$B$142,MATCH(B53,'Rule Matrix'!$A$2:$A$142,0)))</f>
        <v>G. Outward Supplies</v>
      </c>
      <c r="D53" s="6" t="str">
        <f aca="false">IF(B53="","",INDEX('Rule Matrix'!$C$2:$C$142,MATCH(B53,'Rule Matrix'!$A$2:$A$142,0)))</f>
        <v>e-invoice applicability &amp; 30-day limit</v>
      </c>
      <c r="E53" s="6" t="str">
        <f aca="false">IF(B53="","",INDEX('Rule Matrix'!$D$2:$D$142,MATCH(B53,'Rule Matrix'!$A$2:$A$142,0)))</f>
        <v>Notfn 13/2020-CT; 10/2023</v>
      </c>
      <c r="F53" s="6" t="str">
        <f aca="false">IF(B53="","",INDEX('Rule Matrix'!$F$2:$F$142,MATCH(B53,'Rule Matrix'!$A$2:$A$142,0)))</f>
        <v>AATO &gt; ₹5 cr → mandatory; AATO ≥ ₹10 cr → report within 30 days</v>
      </c>
      <c r="G53" s="6" t="str">
        <f aca="false">IF(B53="","",INDEX('Rule Matrix'!$G$2:$G$142,MATCH(B53,'Rule Matrix'!$A$2:$A$142,0)))</f>
        <v>Any</v>
      </c>
      <c r="H53" s="6" t="str">
        <f aca="false">IF(B53="","",INDEX('Rule Matrix'!$H$2:$H$142,MATCH(B53,'Rule Matrix'!$A$2:$A$142,0)))</f>
        <v>Med</v>
      </c>
      <c r="I53" s="6" t="str">
        <f aca="false">IF(B53="","",INDEX('Rule Matrix'!$J$2:$J$142,MATCH(B53,'Rule Matrix'!$A$2:$A$142,0)))</f>
        <v>Comply</v>
      </c>
      <c r="Z53" s="22" t="str">
        <f aca="false">Applicability!A47</f>
        <v>F-04</v>
      </c>
      <c r="AA53" s="22" t="n">
        <f aca="false">IF($Z$5=0,0,IF(AND(INDEX(Applicability!$E$47:$O$47,1,$Z$5)="Y",OR(Applicability!$D$47="",IFERROR(INDEX($B$4:$F$4,MATCH(Applicability!$D$47,$B$3:$F$3,0)),"N")="Y")),1,0))</f>
        <v>1</v>
      </c>
      <c r="AB53" s="22" t="n">
        <f aca="false">IF(AA53=1,SUM(AA$8:AA53),"")</f>
        <v>40</v>
      </c>
    </row>
    <row r="54" customFormat="false" ht="15" hidden="false" customHeight="false" outlineLevel="0" collapsed="false">
      <c r="A54" s="6" t="n">
        <f aca="false">IF(47&gt;$B$5,"",47)</f>
        <v>47</v>
      </c>
      <c r="B54" s="6" t="str">
        <f aca="false">IF(A54="","",INDEX($Z$8:$Z$148,MATCH(A54,$AB$8:$AB$148,0)))</f>
        <v>G-05</v>
      </c>
      <c r="C54" s="6" t="str">
        <f aca="false">IF(B54="","",INDEX('Rule Matrix'!$B$2:$B$142,MATCH(B54,'Rule Matrix'!$A$2:$A$142,0)))</f>
        <v>G. Outward Supplies</v>
      </c>
      <c r="D54" s="6" t="str">
        <f aca="false">IF(B54="","",INDEX('Rule Matrix'!$C$2:$C$142,MATCH(B54,'Rule Matrix'!$A$2:$A$142,0)))</f>
        <v>E-way bill vs sales</v>
      </c>
      <c r="E54" s="6" t="str">
        <f aca="false">IF(B54="","",INDEX('Rule Matrix'!$D$2:$D$142,MATCH(B54,'Rule Matrix'!$A$2:$A$142,0)))</f>
        <v>Rule 138</v>
      </c>
      <c r="F54" s="6" t="str">
        <f aca="false">IF(B54="","",INDEX('Rule Matrix'!$F$2:$F$142,MATCH(B54,'Rule Matrix'!$A$2:$A$142,0)))</f>
        <v>EWB generated without invoice in GSTR-1 → suppressed sales</v>
      </c>
      <c r="G54" s="6" t="str">
        <f aca="false">IF(B54="","",INDEX('Rule Matrix'!$G$2:$G$142,MATCH(B54,'Rule Matrix'!$A$2:$A$142,0)))</f>
        <v>Any</v>
      </c>
      <c r="H54" s="6" t="str">
        <f aca="false">IF(B54="","",INDEX('Rule Matrix'!$H$2:$H$142,MATCH(B54,'Rule Matrix'!$A$2:$A$142,0)))</f>
        <v>High</v>
      </c>
      <c r="I54" s="6" t="str">
        <f aca="false">IF(B54="","",INDEX('Rule Matrix'!$J$2:$J$142,MATCH(B54,'Rule Matrix'!$A$2:$A$142,0)))</f>
        <v>Explain/pay</v>
      </c>
      <c r="Z54" s="22" t="str">
        <f aca="false">Applicability!A48</f>
        <v>F-05</v>
      </c>
      <c r="AA54" s="22" t="n">
        <f aca="false">IF($Z$5=0,0,IF(AND(INDEX(Applicability!$E$48:$O$48,1,$Z$5)="Y",OR(Applicability!$D$48="",IFERROR(INDEX($B$4:$F$4,MATCH(Applicability!$D$48,$B$3:$F$3,0)),"N")="Y")),1,0))</f>
        <v>1</v>
      </c>
      <c r="AB54" s="22" t="n">
        <f aca="false">IF(AA54=1,SUM(AA$8:AA54),"")</f>
        <v>41</v>
      </c>
    </row>
    <row r="55" customFormat="false" ht="53.7" hidden="false" customHeight="false" outlineLevel="0" collapsed="false">
      <c r="A55" s="6" t="n">
        <f aca="false">IF(48&gt;$B$5,"",48)</f>
        <v>48</v>
      </c>
      <c r="B55" s="6" t="str">
        <f aca="false">IF(A55="","",INDEX($Z$8:$Z$148,MATCH(A55,$AB$8:$AB$148,0)))</f>
        <v>G-06</v>
      </c>
      <c r="C55" s="6" t="str">
        <f aca="false">IF(B55="","",INDEX('Rule Matrix'!$B$2:$B$142,MATCH(B55,'Rule Matrix'!$A$2:$A$142,0)))</f>
        <v>G. Outward Supplies</v>
      </c>
      <c r="D55" s="6" t="str">
        <f aca="false">IF(B55="","",INDEX('Rule Matrix'!$C$2:$C$142,MATCH(B55,'Rule Matrix'!$A$2:$A$142,0)))</f>
        <v>Other income scan</v>
      </c>
      <c r="E55" s="6" t="str">
        <f aca="false">IF(B55="","",INDEX('Rule Matrix'!$D$2:$D$142,MATCH(B55,'Rule Matrix'!$A$2:$A$142,0)))</f>
        <v>s.7, s.15</v>
      </c>
      <c r="F55" s="6" t="str">
        <f aca="false">IF(B55="","",INDEX('Rule Matrix'!$F$2:$F$142,MATCH(B55,'Rule Matrix'!$A$2:$A$142,0)))</f>
        <v>Taxability of scrap sale, asset sale, rent, late-payment interest (s.15(2)(d)), notice pay, canteen recovery, commission, mgmt fees. LD/penalties for breach not taxable (Circ 178/10/2022); RBI-mandated penal charges of banks/NBFCs not taxable (Circ 245/02/2025)</v>
      </c>
      <c r="G55" s="6" t="str">
        <f aca="false">IF(B55="","",INDEX('Rule Matrix'!$G$2:$G$142,MATCH(B55,'Rule Matrix'!$A$2:$A$142,0)))</f>
        <v>Any untaxed</v>
      </c>
      <c r="H55" s="6" t="str">
        <f aca="false">IF(B55="","",INDEX('Rule Matrix'!$H$2:$H$142,MATCH(B55,'Rule Matrix'!$A$2:$A$142,0)))</f>
        <v>High</v>
      </c>
      <c r="I55" s="6" t="str">
        <f aca="false">IF(B55="","",INDEX('Rule Matrix'!$J$2:$J$142,MATCH(B55,'Rule Matrix'!$A$2:$A$142,0)))</f>
        <v>Pay tax</v>
      </c>
      <c r="Z55" s="22" t="str">
        <f aca="false">Applicability!A49</f>
        <v>F-06</v>
      </c>
      <c r="AA55" s="22" t="n">
        <f aca="false">IF($Z$5=0,0,IF(AND(INDEX(Applicability!$E$49:$O$49,1,$Z$5)="Y",OR(Applicability!$D$49="",IFERROR(INDEX($B$4:$F$4,MATCH(Applicability!$D$49,$B$3:$F$3,0)),"N")="Y")),1,0))</f>
        <v>1</v>
      </c>
      <c r="AB55" s="22" t="n">
        <f aca="false">IF(AA55=1,SUM(AA$8:AA55),"")</f>
        <v>42</v>
      </c>
    </row>
    <row r="56" customFormat="false" ht="22.35" hidden="false" customHeight="false" outlineLevel="0" collapsed="false">
      <c r="A56" s="6" t="n">
        <f aca="false">IF(49&gt;$B$5,"",49)</f>
        <v>49</v>
      </c>
      <c r="B56" s="6" t="str">
        <f aca="false">IF(A56="","",INDEX($Z$8:$Z$148,MATCH(A56,$AB$8:$AB$148,0)))</f>
        <v>G-07</v>
      </c>
      <c r="C56" s="6" t="str">
        <f aca="false">IF(B56="","",INDEX('Rule Matrix'!$B$2:$B$142,MATCH(B56,'Rule Matrix'!$A$2:$A$142,0)))</f>
        <v>G. Outward Supplies</v>
      </c>
      <c r="D56" s="6" t="str">
        <f aca="false">IF(B56="","",INDEX('Rule Matrix'!$C$2:$C$142,MATCH(B56,'Rule Matrix'!$A$2:$A$142,0)))</f>
        <v>Schedule I deemed supplies</v>
      </c>
      <c r="E56" s="6" t="str">
        <f aca="false">IF(B56="","",INDEX('Rule Matrix'!$D$2:$D$142,MATCH(B56,'Rule Matrix'!$A$2:$A$142,0)))</f>
        <v>Sch. I, Rule 28</v>
      </c>
      <c r="F56" s="6" t="str">
        <f aca="false">IF(B56="","",INDEX('Rule Matrix'!$F$2:$F$142,MATCH(B56,'Rule Matrix'!$A$2:$A$142,0)))</f>
        <v>Stock transfer to other GSTIN; RP supplies w/o consideration; gifts to employee &gt; ₹50k</v>
      </c>
      <c r="G56" s="6" t="str">
        <f aca="false">IF(B56="","",INDEX('Rule Matrix'!$G$2:$G$142,MATCH(B56,'Rule Matrix'!$A$2:$A$142,0)))</f>
        <v>Any</v>
      </c>
      <c r="H56" s="6" t="str">
        <f aca="false">IF(B56="","",INDEX('Rule Matrix'!$H$2:$H$142,MATCH(B56,'Rule Matrix'!$A$2:$A$142,0)))</f>
        <v>High</v>
      </c>
      <c r="I56" s="6" t="str">
        <f aca="false">IF(B56="","",INDEX('Rule Matrix'!$J$2:$J$142,MATCH(B56,'Rule Matrix'!$A$2:$A$142,0)))</f>
        <v>Pay tax</v>
      </c>
      <c r="Z56" s="22" t="str">
        <f aca="false">Applicability!A50</f>
        <v>F-07</v>
      </c>
      <c r="AA56" s="22" t="n">
        <f aca="false">IF($Z$5=0,0,IF(AND(INDEX(Applicability!$E$50:$O$50,1,$Z$5)="Y",OR(Applicability!$D$50="",IFERROR(INDEX($B$4:$F$4,MATCH(Applicability!$D$50,$B$3:$F$3,0)),"N")="Y")),1,0))</f>
        <v>0</v>
      </c>
      <c r="AB56" s="22" t="str">
        <f aca="false">IF(AA56=1,SUM(AA$8:AA56),"")</f>
        <v/>
      </c>
    </row>
    <row r="57" customFormat="false" ht="22.35" hidden="false" customHeight="false" outlineLevel="0" collapsed="false">
      <c r="A57" s="6" t="n">
        <f aca="false">IF(50&gt;$B$5,"",50)</f>
        <v>50</v>
      </c>
      <c r="B57" s="6" t="str">
        <f aca="false">IF(A57="","",INDEX($Z$8:$Z$148,MATCH(A57,$AB$8:$AB$148,0)))</f>
        <v>G-08</v>
      </c>
      <c r="C57" s="6" t="str">
        <f aca="false">IF(B57="","",INDEX('Rule Matrix'!$B$2:$B$142,MATCH(B57,'Rule Matrix'!$A$2:$A$142,0)))</f>
        <v>G. Outward Supplies</v>
      </c>
      <c r="D57" s="6" t="str">
        <f aca="false">IF(B57="","",INDEX('Rule Matrix'!$C$2:$C$142,MATCH(B57,'Rule Matrix'!$A$2:$A$142,0)))</f>
        <v>Related party valuation</v>
      </c>
      <c r="E57" s="6" t="str">
        <f aca="false">IF(B57="","",INDEX('Rule Matrix'!$D$2:$D$142,MATCH(B57,'Rule Matrix'!$A$2:$A$142,0)))</f>
        <v>s.15(4), Rule 28</v>
      </c>
      <c r="F57" s="6" t="str">
        <f aca="false">IF(B57="","",INDEX('Rule Matrix'!$F$2:$F$142,MATCH(B57,'Rule Matrix'!$A$2:$A$142,0)))</f>
        <v>RP transaction value vs open market; full ITC buyer exception (2nd proviso Rule 28)</v>
      </c>
      <c r="G57" s="6" t="str">
        <f aca="false">IF(B57="","",INDEX('Rule Matrix'!$G$2:$G$142,MATCH(B57,'Rule Matrix'!$A$2:$A$142,0)))</f>
        <v>Deviation</v>
      </c>
      <c r="H57" s="6" t="str">
        <f aca="false">IF(B57="","",INDEX('Rule Matrix'!$H$2:$H$142,MATCH(B57,'Rule Matrix'!$A$2:$A$142,0)))</f>
        <v>Med</v>
      </c>
      <c r="I57" s="6" t="str">
        <f aca="false">IF(B57="","",INDEX('Rule Matrix'!$J$2:$J$142,MATCH(B57,'Rule Matrix'!$A$2:$A$142,0)))</f>
        <v>Re-value</v>
      </c>
      <c r="Z57" s="22" t="str">
        <f aca="false">Applicability!A51</f>
        <v>G-01</v>
      </c>
      <c r="AA57" s="22" t="n">
        <f aca="false">IF($Z$5=0,0,IF(AND(INDEX(Applicability!$E$51:$O$51,1,$Z$5)="Y",OR(Applicability!$D$51="",IFERROR(INDEX($B$4:$F$4,MATCH(Applicability!$D$51,$B$3:$F$3,0)),"N")="Y")),1,0))</f>
        <v>1</v>
      </c>
      <c r="AB57" s="22" t="n">
        <f aca="false">IF(AA57=1,SUM(AA$8:AA57),"")</f>
        <v>43</v>
      </c>
    </row>
    <row r="58" customFormat="false" ht="15" hidden="false" customHeight="false" outlineLevel="0" collapsed="false">
      <c r="A58" s="6" t="n">
        <f aca="false">IF(51&gt;$B$5,"",51)</f>
        <v>51</v>
      </c>
      <c r="B58" s="6" t="str">
        <f aca="false">IF(A58="","",INDEX($Z$8:$Z$148,MATCH(A58,$AB$8:$AB$148,0)))</f>
        <v>G-09</v>
      </c>
      <c r="C58" s="6" t="str">
        <f aca="false">IF(B58="","",INDEX('Rule Matrix'!$B$2:$B$142,MATCH(B58,'Rule Matrix'!$A$2:$A$142,0)))</f>
        <v>G. Outward Supplies</v>
      </c>
      <c r="D58" s="6" t="str">
        <f aca="false">IF(B58="","",INDEX('Rule Matrix'!$C$2:$C$142,MATCH(B58,'Rule Matrix'!$A$2:$A$142,0)))</f>
        <v>Advances received</v>
      </c>
      <c r="E58" s="6" t="str">
        <f aca="false">IF(B58="","",INDEX('Rule Matrix'!$D$2:$D$142,MATCH(B58,'Rule Matrix'!$A$2:$A$142,0)))</f>
        <v>s.12, s.13</v>
      </c>
      <c r="F58" s="6" t="str">
        <f aca="false">IF(B58="","",INDEX('Rule Matrix'!$F$2:$F$142,MATCH(B58,'Rule Matrix'!$A$2:$A$142,0)))</f>
        <v>Tax on advances for services; not for goods (Notfn 66/2017)</v>
      </c>
      <c r="G58" s="6" t="str">
        <f aca="false">IF(B58="","",INDEX('Rule Matrix'!$G$2:$G$142,MATCH(B58,'Rule Matrix'!$A$2:$A$142,0)))</f>
        <v>Any</v>
      </c>
      <c r="H58" s="6" t="str">
        <f aca="false">IF(B58="","",INDEX('Rule Matrix'!$H$2:$H$142,MATCH(B58,'Rule Matrix'!$A$2:$A$142,0)))</f>
        <v>Med</v>
      </c>
      <c r="I58" s="6" t="str">
        <f aca="false">IF(B58="","",INDEX('Rule Matrix'!$J$2:$J$142,MATCH(B58,'Rule Matrix'!$A$2:$A$142,0)))</f>
        <v>Pay; adjust on invoice</v>
      </c>
      <c r="Z58" s="22" t="str">
        <f aca="false">Applicability!A52</f>
        <v>G-02</v>
      </c>
      <c r="AA58" s="22" t="n">
        <f aca="false">IF($Z$5=0,0,IF(AND(INDEX(Applicability!$E$52:$O$52,1,$Z$5)="Y",OR(Applicability!$D$52="",IFERROR(INDEX($B$4:$F$4,MATCH(Applicability!$D$52,$B$3:$F$3,0)),"N")="Y")),1,0))</f>
        <v>1</v>
      </c>
      <c r="AB58" s="22" t="n">
        <f aca="false">IF(AA58=1,SUM(AA$8:AA58),"")</f>
        <v>44</v>
      </c>
    </row>
    <row r="59" customFormat="false" ht="22.35" hidden="false" customHeight="false" outlineLevel="0" collapsed="false">
      <c r="A59" s="6" t="n">
        <f aca="false">IF(52&gt;$B$5,"",52)</f>
        <v>52</v>
      </c>
      <c r="B59" s="6" t="str">
        <f aca="false">IF(A59="","",INDEX($Z$8:$Z$148,MATCH(A59,$AB$8:$AB$148,0)))</f>
        <v>G-10</v>
      </c>
      <c r="C59" s="6" t="str">
        <f aca="false">IF(B59="","",INDEX('Rule Matrix'!$B$2:$B$142,MATCH(B59,'Rule Matrix'!$A$2:$A$142,0)))</f>
        <v>G. Outward Supplies</v>
      </c>
      <c r="D59" s="6" t="str">
        <f aca="false">IF(B59="","",INDEX('Rule Matrix'!$C$2:$C$142,MATCH(B59,'Rule Matrix'!$A$2:$A$142,0)))</f>
        <v>Rate &amp; HSN validation</v>
      </c>
      <c r="E59" s="6" t="str">
        <f aca="false">IF(B59="","",INDEX('Rule Matrix'!$D$2:$D$142,MATCH(B59,'Rule Matrix'!$A$2:$A$142,0)))</f>
        <v>Rate notfns; s.14</v>
      </c>
      <c r="F59" s="6" t="str">
        <f aca="false">IF(B59="","",INDEX('Rule Matrix'!$F$2:$F$142,MATCH(B59,'Rule Matrix'!$A$2:$A$142,0)))</f>
        <v>HSN-rate master check; rate change at 22.9.2025 (GST 2.0) applied per s.14 time-of-supply</v>
      </c>
      <c r="G59" s="6" t="str">
        <f aca="false">IF(B59="","",INDEX('Rule Matrix'!$G$2:$G$142,MATCH(B59,'Rule Matrix'!$A$2:$A$142,0)))</f>
        <v>Any</v>
      </c>
      <c r="H59" s="6" t="str">
        <f aca="false">IF(B59="","",INDEX('Rule Matrix'!$H$2:$H$142,MATCH(B59,'Rule Matrix'!$A$2:$A$142,0)))</f>
        <v>High</v>
      </c>
      <c r="I59" s="6" t="str">
        <f aca="false">IF(B59="","",INDEX('Rule Matrix'!$J$2:$J$142,MATCH(B59,'Rule Matrix'!$A$2:$A$142,0)))</f>
        <v>Pay / credit note</v>
      </c>
      <c r="Z59" s="22" t="str">
        <f aca="false">Applicability!A53</f>
        <v>G-03</v>
      </c>
      <c r="AA59" s="22" t="n">
        <f aca="false">IF($Z$5=0,0,IF(AND(INDEX(Applicability!$E$53:$O$53,1,$Z$5)="Y",OR(Applicability!$D$53="",IFERROR(INDEX($B$4:$F$4,MATCH(Applicability!$D$53,$B$3:$F$3,0)),"N")="Y")),1,0))</f>
        <v>1</v>
      </c>
      <c r="AB59" s="22" t="n">
        <f aca="false">IF(AA59=1,SUM(AA$8:AA59),"")</f>
        <v>45</v>
      </c>
    </row>
    <row r="60" customFormat="false" ht="15" hidden="false" customHeight="false" outlineLevel="0" collapsed="false">
      <c r="A60" s="6" t="n">
        <f aca="false">IF(53&gt;$B$5,"",53)</f>
        <v>53</v>
      </c>
      <c r="B60" s="6" t="str">
        <f aca="false">IF(A60="","",INDEX($Z$8:$Z$148,MATCH(A60,$AB$8:$AB$148,0)))</f>
        <v>G-11</v>
      </c>
      <c r="C60" s="6" t="str">
        <f aca="false">IF(B60="","",INDEX('Rule Matrix'!$B$2:$B$142,MATCH(B60,'Rule Matrix'!$A$2:$A$142,0)))</f>
        <v>G. Outward Supplies</v>
      </c>
      <c r="D60" s="6" t="str">
        <f aca="false">IF(B60="","",INDEX('Rule Matrix'!$C$2:$C$142,MATCH(B60,'Rule Matrix'!$A$2:$A$142,0)))</f>
        <v>Exempt/nil/non-GST classification</v>
      </c>
      <c r="E60" s="6" t="str">
        <f aca="false">IF(B60="","",INDEX('Rule Matrix'!$D$2:$D$142,MATCH(B60,'Rule Matrix'!$A$2:$A$142,0)))</f>
        <v>s.11, exemption notfns</v>
      </c>
      <c r="F60" s="6" t="str">
        <f aca="false">IF(B60="","",INDEX('Rule Matrix'!$F$2:$F$142,MATCH(B60,'Rule Matrix'!$A$2:$A$142,0)))</f>
        <v>Exemption entry validity; condition compliance</v>
      </c>
      <c r="G60" s="6" t="str">
        <f aca="false">IF(B60="","",INDEX('Rule Matrix'!$G$2:$G$142,MATCH(B60,'Rule Matrix'!$A$2:$A$142,0)))</f>
        <v>Any</v>
      </c>
      <c r="H60" s="6" t="str">
        <f aca="false">IF(B60="","",INDEX('Rule Matrix'!$H$2:$H$142,MATCH(B60,'Rule Matrix'!$A$2:$A$142,0)))</f>
        <v>Med</v>
      </c>
      <c r="I60" s="6" t="str">
        <f aca="false">IF(B60="","",INDEX('Rule Matrix'!$J$2:$J$142,MATCH(B60,'Rule Matrix'!$A$2:$A$142,0)))</f>
        <v>Pay</v>
      </c>
      <c r="Z60" s="22" t="str">
        <f aca="false">Applicability!A54</f>
        <v>G-04</v>
      </c>
      <c r="AA60" s="22" t="n">
        <f aca="false">IF($Z$5=0,0,IF(AND(INDEX(Applicability!$E$54:$O$54,1,$Z$5)="Y",OR(Applicability!$D$54="",IFERROR(INDEX($B$4:$F$4,MATCH(Applicability!$D$54,$B$3:$F$3,0)),"N")="Y")),1,0))</f>
        <v>1</v>
      </c>
      <c r="AB60" s="22" t="n">
        <f aca="false">IF(AA60=1,SUM(AA$8:AA60),"")</f>
        <v>46</v>
      </c>
    </row>
    <row r="61" customFormat="false" ht="15" hidden="false" customHeight="false" outlineLevel="0" collapsed="false">
      <c r="A61" s="6" t="n">
        <f aca="false">IF(54&gt;$B$5,"",54)</f>
        <v>54</v>
      </c>
      <c r="B61" s="6" t="str">
        <f aca="false">IF(A61="","",INDEX($Z$8:$Z$148,MATCH(A61,$AB$8:$AB$148,0)))</f>
        <v>G-12</v>
      </c>
      <c r="C61" s="6" t="str">
        <f aca="false">IF(B61="","",INDEX('Rule Matrix'!$B$2:$B$142,MATCH(B61,'Rule Matrix'!$A$2:$A$142,0)))</f>
        <v>G. Outward Supplies</v>
      </c>
      <c r="D61" s="6" t="str">
        <f aca="false">IF(B61="","",INDEX('Rule Matrix'!$C$2:$C$142,MATCH(B61,'Rule Matrix'!$A$2:$A$142,0)))</f>
        <v>Invoice series gaps</v>
      </c>
      <c r="E61" s="6" t="str">
        <f aca="false">IF(B61="","",INDEX('Rule Matrix'!$D$2:$D$142,MATCH(B61,'Rule Matrix'!$A$2:$A$142,0)))</f>
        <v>Rule 46(b)</v>
      </c>
      <c r="F61" s="6" t="str">
        <f aca="false">IF(B61="","",INDEX('Rule Matrix'!$F$2:$F$142,MATCH(B61,'Rule Matrix'!$A$2:$A$142,0)))</f>
        <v>Missing/cancelled invoice numbers</v>
      </c>
      <c r="G61" s="6" t="str">
        <f aca="false">IF(B61="","",INDEX('Rule Matrix'!$G$2:$G$142,MATCH(B61,'Rule Matrix'!$A$2:$A$142,0)))</f>
        <v>Any</v>
      </c>
      <c r="H61" s="6" t="str">
        <f aca="false">IF(B61="","",INDEX('Rule Matrix'!$H$2:$H$142,MATCH(B61,'Rule Matrix'!$A$2:$A$142,0)))</f>
        <v>Med</v>
      </c>
      <c r="I61" s="6" t="str">
        <f aca="false">IF(B61="","",INDEX('Rule Matrix'!$J$2:$J$142,MATCH(B61,'Rule Matrix'!$A$2:$A$142,0)))</f>
        <v>Explain</v>
      </c>
      <c r="Z61" s="22" t="str">
        <f aca="false">Applicability!A55</f>
        <v>G-05</v>
      </c>
      <c r="AA61" s="22" t="n">
        <f aca="false">IF($Z$5=0,0,IF(AND(INDEX(Applicability!$E$55:$O$55,1,$Z$5)="Y",OR(Applicability!$D$55="",IFERROR(INDEX($B$4:$F$4,MATCH(Applicability!$D$55,$B$3:$F$3,0)),"N")="Y")),1,0))</f>
        <v>1</v>
      </c>
      <c r="AB61" s="22" t="n">
        <f aca="false">IF(AA61=1,SUM(AA$8:AA61),"")</f>
        <v>47</v>
      </c>
    </row>
    <row r="62" customFormat="false" ht="15" hidden="false" customHeight="false" outlineLevel="0" collapsed="false">
      <c r="A62" s="6" t="n">
        <f aca="false">IF(55&gt;$B$5,"",55)</f>
        <v>55</v>
      </c>
      <c r="B62" s="6" t="str">
        <f aca="false">IF(A62="","",INDEX($Z$8:$Z$148,MATCH(A62,$AB$8:$AB$148,0)))</f>
        <v>G-14</v>
      </c>
      <c r="C62" s="6" t="str">
        <f aca="false">IF(B62="","",INDEX('Rule Matrix'!$B$2:$B$142,MATCH(B62,'Rule Matrix'!$A$2:$A$142,0)))</f>
        <v>G. Outward Supplies</v>
      </c>
      <c r="D62" s="6" t="str">
        <f aca="false">IF(B62="","",INDEX('Rule Matrix'!$C$2:$C$142,MATCH(B62,'Rule Matrix'!$A$2:$A$142,0)))</f>
        <v>TDS/TCS credits vs turnover</v>
      </c>
      <c r="E62" s="6" t="str">
        <f aca="false">IF(B62="","",INDEX('Rule Matrix'!$D$2:$D$142,MATCH(B62,'Rule Matrix'!$A$2:$A$142,0)))</f>
        <v>s.51, s.52</v>
      </c>
      <c r="F62" s="6" t="str">
        <f aca="false">IF(B62="","",INDEX('Rule Matrix'!$F$2:$F$142,MATCH(B62,'Rule Matrix'!$A$2:$A$142,0)))</f>
        <v>Turnover implied by TDS/TCS ≤ declared turnover</v>
      </c>
      <c r="G62" s="6" t="str">
        <f aca="false">IF(B62="","",INDEX('Rule Matrix'!$G$2:$G$142,MATCH(B62,'Rule Matrix'!$A$2:$A$142,0)))</f>
        <v>Any</v>
      </c>
      <c r="H62" s="6" t="str">
        <f aca="false">IF(B62="","",INDEX('Rule Matrix'!$H$2:$H$142,MATCH(B62,'Rule Matrix'!$A$2:$A$142,0)))</f>
        <v>Med</v>
      </c>
      <c r="I62" s="6" t="str">
        <f aca="false">IF(B62="","",INDEX('Rule Matrix'!$J$2:$J$142,MATCH(B62,'Rule Matrix'!$A$2:$A$142,0)))</f>
        <v>Reconcile</v>
      </c>
      <c r="Z62" s="22" t="str">
        <f aca="false">Applicability!A56</f>
        <v>G-06</v>
      </c>
      <c r="AA62" s="22" t="n">
        <f aca="false">IF($Z$5=0,0,IF(AND(INDEX(Applicability!$E$56:$O$56,1,$Z$5)="Y",OR(Applicability!$D$56="",IFERROR(INDEX($B$4:$F$4,MATCH(Applicability!$D$56,$B$3:$F$3,0)),"N")="Y")),1,0))</f>
        <v>1</v>
      </c>
      <c r="AB62" s="22" t="n">
        <f aca="false">IF(AA62=1,SUM(AA$8:AA62),"")</f>
        <v>48</v>
      </c>
    </row>
    <row r="63" customFormat="false" ht="15" hidden="false" customHeight="false" outlineLevel="0" collapsed="false">
      <c r="A63" s="6" t="n">
        <f aca="false">IF(56&gt;$B$5,"",56)</f>
        <v>56</v>
      </c>
      <c r="B63" s="6" t="str">
        <f aca="false">IF(A63="","",INDEX($Z$8:$Z$148,MATCH(A63,$AB$8:$AB$148,0)))</f>
        <v>G-15</v>
      </c>
      <c r="C63" s="6" t="str">
        <f aca="false">IF(B63="","",INDEX('Rule Matrix'!$B$2:$B$142,MATCH(B63,'Rule Matrix'!$A$2:$A$142,0)))</f>
        <v>G. Outward Supplies</v>
      </c>
      <c r="D63" s="6" t="str">
        <f aca="false">IF(B63="","",INDEX('Rule Matrix'!$C$2:$C$142,MATCH(B63,'Rule Matrix'!$A$2:$A$142,0)))</f>
        <v>Amendment time limit</v>
      </c>
      <c r="E63" s="6" t="str">
        <f aca="false">IF(B63="","",INDEX('Rule Matrix'!$D$2:$D$142,MATCH(B63,'Rule Matrix'!$A$2:$A$142,0)))</f>
        <v>s.37(3), s.39(9)</v>
      </c>
      <c r="F63" s="6" t="str">
        <f aca="false">IF(B63="","",INDEX('Rule Matrix'!$F$2:$F$142,MATCH(B63,'Rule Matrix'!$A$2:$A$142,0)))</f>
        <v>Amendments made within 30 Nov next FY</v>
      </c>
      <c r="G63" s="6" t="str">
        <f aca="false">IF(B63="","",INDEX('Rule Matrix'!$G$2:$G$142,MATCH(B63,'Rule Matrix'!$A$2:$A$142,0)))</f>
        <v>Late</v>
      </c>
      <c r="H63" s="6" t="str">
        <f aca="false">IF(B63="","",INDEX('Rule Matrix'!$H$2:$H$142,MATCH(B63,'Rule Matrix'!$A$2:$A$142,0)))</f>
        <v>Low</v>
      </c>
      <c r="I63" s="6" t="str">
        <f aca="false">IF(B63="","",INDEX('Rule Matrix'!$J$2:$J$142,MATCH(B63,'Rule Matrix'!$A$2:$A$142,0)))</f>
        <v>—</v>
      </c>
      <c r="Z63" s="22" t="str">
        <f aca="false">Applicability!A57</f>
        <v>G-07</v>
      </c>
      <c r="AA63" s="22" t="n">
        <f aca="false">IF($Z$5=0,0,IF(AND(INDEX(Applicability!$E$57:$O$57,1,$Z$5)="Y",OR(Applicability!$D$57="",IFERROR(INDEX($B$4:$F$4,MATCH(Applicability!$D$57,$B$3:$F$3,0)),"N")="Y")),1,0))</f>
        <v>1</v>
      </c>
      <c r="AB63" s="22" t="n">
        <f aca="false">IF(AA63=1,SUM(AA$8:AA63),"")</f>
        <v>49</v>
      </c>
    </row>
    <row r="64" customFormat="false" ht="22.35" hidden="false" customHeight="false" outlineLevel="0" collapsed="false">
      <c r="A64" s="6" t="n">
        <f aca="false">IF(57&gt;$B$5,"",57)</f>
        <v>57</v>
      </c>
      <c r="B64" s="6" t="str">
        <f aca="false">IF(A64="","",INDEX($Z$8:$Z$148,MATCH(A64,$AB$8:$AB$148,0)))</f>
        <v>H-01</v>
      </c>
      <c r="C64" s="6" t="str">
        <f aca="false">IF(B64="","",INDEX('Rule Matrix'!$B$2:$B$142,MATCH(B64,'Rule Matrix'!$A$2:$A$142,0)))</f>
        <v>H. Credit &amp; Debit Notes</v>
      </c>
      <c r="D64" s="6" t="str">
        <f aca="false">IF(B64="","",INDEX('Rule Matrix'!$C$2:$C$142,MATCH(B64,'Rule Matrix'!$A$2:$A$142,0)))</f>
        <v>CN time limit</v>
      </c>
      <c r="E64" s="6" t="str">
        <f aca="false">IF(B64="","",INDEX('Rule Matrix'!$D$2:$D$142,MATCH(B64,'Rule Matrix'!$A$2:$A$142,0)))</f>
        <v>s.34(2)</v>
      </c>
      <c r="F64" s="6" t="str">
        <f aca="false">IF(B64="","",INDEX('Rule Matrix'!$F$2:$F$142,MATCH(B64,'Rule Matrix'!$A$2:$A$142,0)))</f>
        <v>CN issued / declared by earlier of 30 Nov next FY or annual return</v>
      </c>
      <c r="G64" s="6" t="str">
        <f aca="false">IF(B64="","",INDEX('Rule Matrix'!$G$2:$G$142,MATCH(B64,'Rule Matrix'!$A$2:$A$142,0)))</f>
        <v>Late</v>
      </c>
      <c r="H64" s="6" t="str">
        <f aca="false">IF(B64="","",INDEX('Rule Matrix'!$H$2:$H$142,MATCH(B64,'Rule Matrix'!$A$2:$A$142,0)))</f>
        <v>High</v>
      </c>
      <c r="I64" s="6" t="str">
        <f aca="false">IF(B64="","",INDEX('Rule Matrix'!$J$2:$J$142,MATCH(B64,'Rule Matrix'!$A$2:$A$142,0)))</f>
        <v>Reverse reduction</v>
      </c>
      <c r="Z64" s="22" t="str">
        <f aca="false">Applicability!A58</f>
        <v>G-08</v>
      </c>
      <c r="AA64" s="22" t="n">
        <f aca="false">IF($Z$5=0,0,IF(AND(INDEX(Applicability!$E$58:$O$58,1,$Z$5)="Y",OR(Applicability!$D$58="",IFERROR(INDEX($B$4:$F$4,MATCH(Applicability!$D$58,$B$3:$F$3,0)),"N")="Y")),1,0))</f>
        <v>1</v>
      </c>
      <c r="AB64" s="22" t="n">
        <f aca="false">IF(AA64=1,SUM(AA$8:AA64),"")</f>
        <v>50</v>
      </c>
    </row>
    <row r="65" customFormat="false" ht="15" hidden="false" customHeight="false" outlineLevel="0" collapsed="false">
      <c r="A65" s="6" t="n">
        <f aca="false">IF(58&gt;$B$5,"",58)</f>
        <v>58</v>
      </c>
      <c r="B65" s="6" t="str">
        <f aca="false">IF(A65="","",INDEX($Z$8:$Z$148,MATCH(A65,$AB$8:$AB$148,0)))</f>
        <v>H-02</v>
      </c>
      <c r="C65" s="6" t="str">
        <f aca="false">IF(B65="","",INDEX('Rule Matrix'!$B$2:$B$142,MATCH(B65,'Rule Matrix'!$A$2:$A$142,0)))</f>
        <v>H. Credit &amp; Debit Notes</v>
      </c>
      <c r="D65" s="6" t="str">
        <f aca="false">IF(B65="","",INDEX('Rule Matrix'!$C$2:$C$142,MATCH(B65,'Rule Matrix'!$A$2:$A$142,0)))</f>
        <v>CN linkage to invoice</v>
      </c>
      <c r="E65" s="6" t="str">
        <f aca="false">IF(B65="","",INDEX('Rule Matrix'!$D$2:$D$142,MATCH(B65,'Rule Matrix'!$A$2:$A$142,0)))</f>
        <v>s.34(1), Circ 212/2024</v>
      </c>
      <c r="F65" s="6" t="str">
        <f aca="false">IF(B65="","",INDEX('Rule Matrix'!$F$2:$F$142,MATCH(B65,'Rule Matrix'!$A$2:$A$142,0)))</f>
        <v>Each CN linked to original invoice(s)</v>
      </c>
      <c r="G65" s="6" t="str">
        <f aca="false">IF(B65="","",INDEX('Rule Matrix'!$G$2:$G$142,MATCH(B65,'Rule Matrix'!$A$2:$A$142,0)))</f>
        <v>Missing</v>
      </c>
      <c r="H65" s="6" t="str">
        <f aca="false">IF(B65="","",INDEX('Rule Matrix'!$H$2:$H$142,MATCH(B65,'Rule Matrix'!$A$2:$A$142,0)))</f>
        <v>Med</v>
      </c>
      <c r="I65" s="6" t="str">
        <f aca="false">IF(B65="","",INDEX('Rule Matrix'!$J$2:$J$142,MATCH(B65,'Rule Matrix'!$A$2:$A$142,0)))</f>
        <v>Link</v>
      </c>
      <c r="Z65" s="22" t="str">
        <f aca="false">Applicability!A59</f>
        <v>G-09</v>
      </c>
      <c r="AA65" s="22" t="n">
        <f aca="false">IF($Z$5=0,0,IF(AND(INDEX(Applicability!$E$59:$O$59,1,$Z$5)="Y",OR(Applicability!$D$59="",IFERROR(INDEX($B$4:$F$4,MATCH(Applicability!$D$59,$B$3:$F$3,0)),"N")="Y")),1,0))</f>
        <v>1</v>
      </c>
      <c r="AB65" s="22" t="n">
        <f aca="false">IF(AA65=1,SUM(AA$8:AA65),"")</f>
        <v>51</v>
      </c>
    </row>
    <row r="66" customFormat="false" ht="43.25" hidden="false" customHeight="false" outlineLevel="0" collapsed="false">
      <c r="A66" s="6" t="n">
        <f aca="false">IF(59&gt;$B$5,"",59)</f>
        <v>59</v>
      </c>
      <c r="B66" s="6" t="str">
        <f aca="false">IF(A66="","",INDEX($Z$8:$Z$148,MATCH(A66,$AB$8:$AB$148,0)))</f>
        <v>H-03</v>
      </c>
      <c r="C66" s="6" t="str">
        <f aca="false">IF(B66="","",INDEX('Rule Matrix'!$B$2:$B$142,MATCH(B66,'Rule Matrix'!$A$2:$A$142,0)))</f>
        <v>H. Credit &amp; Debit Notes</v>
      </c>
      <c r="D66" s="6" t="str">
        <f aca="false">IF(B66="","",INDEX('Rule Matrix'!$C$2:$C$142,MATCH(B66,'Rule Matrix'!$A$2:$A$142,0)))</f>
        <v>Recipient ITC reversal for tax reduction</v>
      </c>
      <c r="E66" s="6" t="str">
        <f aca="false">IF(B66="","",INDEX('Rule Matrix'!$D$2:$D$142,MATCH(B66,'Rule Matrix'!$A$2:$A$142,0)))</f>
        <v>s.34(2) proviso subst. by FA 2025 w.e.f. 01.10.2025 (Notfn 16/2025-CT); IMS; Circ 212/2024 (earlier CNs)</v>
      </c>
      <c r="F66" s="6" t="str">
        <f aca="false">IF(B66="","",INDEX('Rule Matrix'!$F$2:$F$142,MATCH(B66,'Rule Matrix'!$A$2:$A$142,0)))</f>
        <v>CNs from 01.10.2025: output reduction only if registered recipient reversed attributable ITC (IMS accept); IMS-rejected CN adds back to supplier liability. Earlier CNs: incidence-not-passed test / CA certificate route (Circ 212/2024)</v>
      </c>
      <c r="G66" s="6" t="str">
        <f aca="false">IF(B66="","",INDEX('Rule Matrix'!$G$2:$G$142,MATCH(B66,'Rule Matrix'!$A$2:$A$142,0)))</f>
        <v>Unproved</v>
      </c>
      <c r="H66" s="6" t="str">
        <f aca="false">IF(B66="","",INDEX('Rule Matrix'!$H$2:$H$142,MATCH(B66,'Rule Matrix'!$A$2:$A$142,0)))</f>
        <v>High</v>
      </c>
      <c r="I66" s="6" t="str">
        <f aca="false">IF(B66="","",INDEX('Rule Matrix'!$J$2:$J$142,MATCH(B66,'Rule Matrix'!$A$2:$A$142,0)))</f>
        <v>Obtain certificate</v>
      </c>
      <c r="Z66" s="22" t="str">
        <f aca="false">Applicability!A60</f>
        <v>G-10</v>
      </c>
      <c r="AA66" s="22" t="n">
        <f aca="false">IF($Z$5=0,0,IF(AND(INDEX(Applicability!$E$60:$O$60,1,$Z$5)="Y",OR(Applicability!$D$60="",IFERROR(INDEX($B$4:$F$4,MATCH(Applicability!$D$60,$B$3:$F$3,0)),"N")="Y")),1,0))</f>
        <v>1</v>
      </c>
      <c r="AB66" s="22" t="n">
        <f aca="false">IF(AA66=1,SUM(AA$8:AA66),"")</f>
        <v>52</v>
      </c>
    </row>
    <row r="67" customFormat="false" ht="53.7" hidden="false" customHeight="false" outlineLevel="0" collapsed="false">
      <c r="A67" s="6" t="n">
        <f aca="false">IF(60&gt;$B$5,"",60)</f>
        <v>60</v>
      </c>
      <c r="B67" s="6" t="str">
        <f aca="false">IF(A67="","",INDEX($Z$8:$Z$148,MATCH(A67,$AB$8:$AB$148,0)))</f>
        <v>H-04</v>
      </c>
      <c r="C67" s="6" t="str">
        <f aca="false">IF(B67="","",INDEX('Rule Matrix'!$B$2:$B$142,MATCH(B67,'Rule Matrix'!$A$2:$A$142,0)))</f>
        <v>H. Credit &amp; Debit Notes</v>
      </c>
      <c r="D67" s="6" t="str">
        <f aca="false">IF(B67="","",INDEX('Rule Matrix'!$C$2:$C$142,MATCH(B67,'Rule Matrix'!$A$2:$A$142,0)))</f>
        <v>Post-sale discounts</v>
      </c>
      <c r="E67" s="6" t="str">
        <f aca="false">IF(B67="","",INDEX('Rule Matrix'!$D$2:$D$142,MATCH(B67,'Rule Matrix'!$A$2:$A$142,0)))</f>
        <v>s.15(3)(b); Circ 92/2019, 251/08/2025; FA 2026 substitution – awaiting notification</v>
      </c>
      <c r="F67" s="6" t="str">
        <f aca="false">IF(B67="","",INDEX('Rule Matrix'!$F$2:$F$142,MATCH(B67,'Rule Matrix'!$A$2:$A$142,0)))</f>
        <v>Until FA 2026 amendment notified: pre-agreement + invoice linkage + recipient ITC reversal. Financial/commercial CN: no output reduction, and recipient need NOT reverse ITC (Circ 251/2025). Discount is dealer consideration only if tied to end-customer agreement; promotion taxable only if agreed service</v>
      </c>
      <c r="G67" s="6" t="str">
        <f aca="false">IF(B67="","",INDEX('Rule Matrix'!$G$2:$G$142,MATCH(B67,'Rule Matrix'!$A$2:$A$142,0)))</f>
        <v>Non-compliant</v>
      </c>
      <c r="H67" s="6" t="str">
        <f aca="false">IF(B67="","",INDEX('Rule Matrix'!$H$2:$H$142,MATCH(B67,'Rule Matrix'!$A$2:$A$142,0)))</f>
        <v>High</v>
      </c>
      <c r="I67" s="6" t="str">
        <f aca="false">IF(B67="","",INDEX('Rule Matrix'!$J$2:$J$142,MATCH(B67,'Rule Matrix'!$A$2:$A$142,0)))</f>
        <v>Re-issue as financial CN</v>
      </c>
      <c r="Z67" s="22" t="str">
        <f aca="false">Applicability!A61</f>
        <v>G-11</v>
      </c>
      <c r="AA67" s="22" t="n">
        <f aca="false">IF($Z$5=0,0,IF(AND(INDEX(Applicability!$E$61:$O$61,1,$Z$5)="Y",OR(Applicability!$D$61="",IFERROR(INDEX($B$4:$F$4,MATCH(Applicability!$D$61,$B$3:$F$3,0)),"N")="Y")),1,0))</f>
        <v>1</v>
      </c>
      <c r="AB67" s="22" t="n">
        <f aca="false">IF(AA67=1,SUM(AA$8:AA67),"")</f>
        <v>53</v>
      </c>
    </row>
    <row r="68" customFormat="false" ht="15" hidden="false" customHeight="false" outlineLevel="0" collapsed="false">
      <c r="A68" s="6" t="n">
        <f aca="false">IF(61&gt;$B$5,"",61)</f>
        <v>61</v>
      </c>
      <c r="B68" s="6" t="str">
        <f aca="false">IF(A68="","",INDEX($Z$8:$Z$148,MATCH(A68,$AB$8:$AB$148,0)))</f>
        <v>H-05</v>
      </c>
      <c r="C68" s="6" t="str">
        <f aca="false">IF(B68="","",INDEX('Rule Matrix'!$B$2:$B$142,MATCH(B68,'Rule Matrix'!$A$2:$A$142,0)))</f>
        <v>H. Credit &amp; Debit Notes</v>
      </c>
      <c r="D68" s="6" t="str">
        <f aca="false">IF(B68="","",INDEX('Rule Matrix'!$C$2:$C$142,MATCH(B68,'Rule Matrix'!$A$2:$A$142,0)))</f>
        <v>Books CN vs GST CN</v>
      </c>
      <c r="E68" s="6" t="str">
        <f aca="false">IF(B68="","",INDEX('Rule Matrix'!$D$2:$D$142,MATCH(B68,'Rule Matrix'!$A$2:$A$142,0)))</f>
        <v>—</v>
      </c>
      <c r="F68" s="6" t="str">
        <f aca="false">IF(B68="","",INDEX('Rule Matrix'!$F$2:$F$142,MATCH(B68,'Rule Matrix'!$A$2:$A$142,0)))</f>
        <v>Financial CNs (no GST) vs GST CNs – explain difference</v>
      </c>
      <c r="G68" s="6" t="str">
        <f aca="false">IF(B68="","",INDEX('Rule Matrix'!$G$2:$G$142,MATCH(B68,'Rule Matrix'!$A$2:$A$142,0)))</f>
        <v>Diff</v>
      </c>
      <c r="H68" s="6" t="str">
        <f aca="false">IF(B68="","",INDEX('Rule Matrix'!$H$2:$H$142,MATCH(B68,'Rule Matrix'!$A$2:$A$142,0)))</f>
        <v>Low</v>
      </c>
      <c r="I68" s="6" t="str">
        <f aca="false">IF(B68="","",INDEX('Rule Matrix'!$J$2:$J$142,MATCH(B68,'Rule Matrix'!$A$2:$A$142,0)))</f>
        <v>Reconcile</v>
      </c>
      <c r="Z68" s="22" t="str">
        <f aca="false">Applicability!A62</f>
        <v>G-12</v>
      </c>
      <c r="AA68" s="22" t="n">
        <f aca="false">IF($Z$5=0,0,IF(AND(INDEX(Applicability!$E$62:$O$62,1,$Z$5)="Y",OR(Applicability!$D$62="",IFERROR(INDEX($B$4:$F$4,MATCH(Applicability!$D$62,$B$3:$F$3,0)),"N")="Y")),1,0))</f>
        <v>1</v>
      </c>
      <c r="AB68" s="22" t="n">
        <f aca="false">IF(AA68=1,SUM(AA$8:AA68),"")</f>
        <v>54</v>
      </c>
    </row>
    <row r="69" customFormat="false" ht="22.35" hidden="false" customHeight="false" outlineLevel="0" collapsed="false">
      <c r="A69" s="6" t="n">
        <f aca="false">IF(62&gt;$B$5,"",62)</f>
        <v>62</v>
      </c>
      <c r="B69" s="6" t="str">
        <f aca="false">IF(A69="","",INDEX($Z$8:$Z$148,MATCH(A69,$AB$8:$AB$148,0)))</f>
        <v>H-06</v>
      </c>
      <c r="C69" s="6" t="str">
        <f aca="false">IF(B69="","",INDEX('Rule Matrix'!$B$2:$B$142,MATCH(B69,'Rule Matrix'!$A$2:$A$142,0)))</f>
        <v>H. Credit &amp; Debit Notes</v>
      </c>
      <c r="D69" s="6" t="str">
        <f aca="false">IF(B69="","",INDEX('Rule Matrix'!$C$2:$C$142,MATCH(B69,'Rule Matrix'!$A$2:$A$142,0)))</f>
        <v>Purchase-side CNs</v>
      </c>
      <c r="E69" s="6" t="str">
        <f aca="false">IF(B69="","",INDEX('Rule Matrix'!$D$2:$D$142,MATCH(B69,'Rule Matrix'!$A$2:$A$142,0)))</f>
        <v>s.16, s.34</v>
      </c>
      <c r="F69" s="6" t="str">
        <f aca="false">IF(B69="","",INDEX('Rule Matrix'!$F$2:$F$142,MATCH(B69,'Rule Matrix'!$A$2:$A$142,0)))</f>
        <v>CNs received in 2B reversed in 3B; IMS rejected/pending CNs tracked</v>
      </c>
      <c r="G69" s="6" t="str">
        <f aca="false">IF(B69="","",INDEX('Rule Matrix'!$G$2:$G$142,MATCH(B69,'Rule Matrix'!$A$2:$A$142,0)))</f>
        <v>Any</v>
      </c>
      <c r="H69" s="6" t="str">
        <f aca="false">IF(B69="","",INDEX('Rule Matrix'!$H$2:$H$142,MATCH(B69,'Rule Matrix'!$A$2:$A$142,0)))</f>
        <v>High</v>
      </c>
      <c r="I69" s="6" t="str">
        <f aca="false">IF(B69="","",INDEX('Rule Matrix'!$J$2:$J$142,MATCH(B69,'Rule Matrix'!$A$2:$A$142,0)))</f>
        <v>Reverse in 3B</v>
      </c>
      <c r="Z69" s="22" t="str">
        <f aca="false">Applicability!A63</f>
        <v>G-13</v>
      </c>
      <c r="AA69" s="22" t="n">
        <f aca="false">IF($Z$5=0,0,IF(AND(INDEX(Applicability!$E$63:$O$63,1,$Z$5)="Y",OR(Applicability!$D$63="",IFERROR(INDEX($B$4:$F$4,MATCH(Applicability!$D$63,$B$3:$F$3,0)),"N")="Y")),1,0))</f>
        <v>0</v>
      </c>
      <c r="AB69" s="22" t="str">
        <f aca="false">IF(AA69=1,SUM(AA$8:AA69),"")</f>
        <v/>
      </c>
    </row>
    <row r="70" customFormat="false" ht="22.35" hidden="false" customHeight="false" outlineLevel="0" collapsed="false">
      <c r="A70" s="6" t="n">
        <f aca="false">IF(63&gt;$B$5,"",63)</f>
        <v>63</v>
      </c>
      <c r="B70" s="6" t="str">
        <f aca="false">IF(A70="","",INDEX($Z$8:$Z$148,MATCH(A70,$AB$8:$AB$148,0)))</f>
        <v>H-07</v>
      </c>
      <c r="C70" s="6" t="str">
        <f aca="false">IF(B70="","",INDEX('Rule Matrix'!$B$2:$B$142,MATCH(B70,'Rule Matrix'!$A$2:$A$142,0)))</f>
        <v>H. Credit &amp; Debit Notes</v>
      </c>
      <c r="D70" s="6" t="str">
        <f aca="false">IF(B70="","",INDEX('Rule Matrix'!$C$2:$C$142,MATCH(B70,'Rule Matrix'!$A$2:$A$142,0)))</f>
        <v>Debit notes – ITC time limit</v>
      </c>
      <c r="E70" s="6" t="str">
        <f aca="false">IF(B70="","",INDEX('Rule Matrix'!$D$2:$D$142,MATCH(B70,'Rule Matrix'!$A$2:$A$142,0)))</f>
        <v>s.16(4) as amended by FA 2020 w.e.f. 01.01.2021</v>
      </c>
      <c r="F70" s="6" t="str">
        <f aca="false">IF(B70="","",INDEX('Rule Matrix'!$F$2:$F$142,MATCH(B70,'Rule Matrix'!$A$2:$A$142,0)))</f>
        <v>Time limit reckoned from DN date, not original invoice</v>
      </c>
      <c r="G70" s="6" t="str">
        <f aca="false">IF(B70="","",INDEX('Rule Matrix'!$G$2:$G$142,MATCH(B70,'Rule Matrix'!$A$2:$A$142,0)))</f>
        <v>Mis-applied</v>
      </c>
      <c r="H70" s="6" t="str">
        <f aca="false">IF(B70="","",INDEX('Rule Matrix'!$H$2:$H$142,MATCH(B70,'Rule Matrix'!$A$2:$A$142,0)))</f>
        <v>Low</v>
      </c>
      <c r="I70" s="6" t="str">
        <f aca="false">IF(B70="","",INDEX('Rule Matrix'!$J$2:$J$142,MATCH(B70,'Rule Matrix'!$A$2:$A$142,0)))</f>
        <v>Correct</v>
      </c>
      <c r="Z70" s="22" t="str">
        <f aca="false">Applicability!A64</f>
        <v>G-14</v>
      </c>
      <c r="AA70" s="22" t="n">
        <f aca="false">IF($Z$5=0,0,IF(AND(INDEX(Applicability!$E$64:$O$64,1,$Z$5)="Y",OR(Applicability!$D$64="",IFERROR(INDEX($B$4:$F$4,MATCH(Applicability!$D$64,$B$3:$F$3,0)),"N")="Y")),1,0))</f>
        <v>1</v>
      </c>
      <c r="AB70" s="22" t="n">
        <f aca="false">IF(AA70=1,SUM(AA$8:AA70),"")</f>
        <v>55</v>
      </c>
    </row>
    <row r="71" customFormat="false" ht="22.35" hidden="false" customHeight="false" outlineLevel="0" collapsed="false">
      <c r="A71" s="6" t="n">
        <f aca="false">IF(64&gt;$B$5,"",64)</f>
        <v>64</v>
      </c>
      <c r="B71" s="6" t="str">
        <f aca="false">IF(A71="","",INDEX($Z$8:$Z$148,MATCH(A71,$AB$8:$AB$148,0)))</f>
        <v>H-08</v>
      </c>
      <c r="C71" s="6" t="str">
        <f aca="false">IF(B71="","",INDEX('Rule Matrix'!$B$2:$B$142,MATCH(B71,'Rule Matrix'!$A$2:$A$142,0)))</f>
        <v>H. Credit &amp; Debit Notes</v>
      </c>
      <c r="D71" s="6" t="str">
        <f aca="false">IF(B71="","",INDEX('Rule Matrix'!$C$2:$C$142,MATCH(B71,'Rule Matrix'!$A$2:$A$142,0)))</f>
        <v>Unusual CN pattern</v>
      </c>
      <c r="E71" s="6" t="str">
        <f aca="false">IF(B71="","",INDEX('Rule Matrix'!$D$2:$D$142,MATCH(B71,'Rule Matrix'!$A$2:$A$142,0)))</f>
        <v>—</v>
      </c>
      <c r="F71" s="6" t="str">
        <f aca="false">IF(B71="","",INDEX('Rule Matrix'!$F$2:$F$142,MATCH(B71,'Rule Matrix'!$A$2:$A$142,0)))</f>
        <v>High CN % to same party / year-end CNs reversing sales</v>
      </c>
      <c r="G71" s="6" t="str">
        <f aca="false">IF(B71="","",INDEX('Rule Matrix'!$G$2:$G$142,MATCH(B71,'Rule Matrix'!$A$2:$A$142,0)))</f>
        <v>&gt; 10% of party sales</v>
      </c>
      <c r="H71" s="6" t="str">
        <f aca="false">IF(B71="","",INDEX('Rule Matrix'!$H$2:$H$142,MATCH(B71,'Rule Matrix'!$A$2:$A$142,0)))</f>
        <v>Med</v>
      </c>
      <c r="I71" s="6" t="str">
        <f aca="false">IF(B71="","",INDEX('Rule Matrix'!$J$2:$J$142,MATCH(B71,'Rule Matrix'!$A$2:$A$142,0)))</f>
        <v>Review</v>
      </c>
      <c r="Z71" s="22" t="str">
        <f aca="false">Applicability!A65</f>
        <v>G-15</v>
      </c>
      <c r="AA71" s="22" t="n">
        <f aca="false">IF($Z$5=0,0,IF(AND(INDEX(Applicability!$E$65:$O$65,1,$Z$5)="Y",OR(Applicability!$D$65="",IFERROR(INDEX($B$4:$F$4,MATCH(Applicability!$D$65,$B$3:$F$3,0)),"N")="Y")),1,0))</f>
        <v>1</v>
      </c>
      <c r="AB71" s="22" t="n">
        <f aca="false">IF(AA71=1,SUM(AA$8:AA71),"")</f>
        <v>56</v>
      </c>
    </row>
    <row r="72" customFormat="false" ht="15" hidden="false" customHeight="false" outlineLevel="0" collapsed="false">
      <c r="A72" s="6" t="n">
        <f aca="false">IF(65&gt;$B$5,"",65)</f>
        <v>65</v>
      </c>
      <c r="B72" s="6" t="str">
        <f aca="false">IF(A72="","",INDEX($Z$8:$Z$148,MATCH(A72,$AB$8:$AB$148,0)))</f>
        <v>I-01</v>
      </c>
      <c r="C72" s="6" t="str">
        <f aca="false">IF(B72="","",INDEX('Rule Matrix'!$B$2:$B$142,MATCH(B72,'Rule Matrix'!$A$2:$A$142,0)))</f>
        <v>I. Annual Report Linkages</v>
      </c>
      <c r="D72" s="6" t="str">
        <f aca="false">IF(B72="","",INDEX('Rule Matrix'!$C$2:$C$142,MATCH(B72,'Rule Matrix'!$A$2:$A$142,0)))</f>
        <v>Capex additions vs capital goods ITC</v>
      </c>
      <c r="E72" s="6" t="str">
        <f aca="false">IF(B72="","",INDEX('Rule Matrix'!$D$2:$D$142,MATCH(B72,'Rule Matrix'!$A$2:$A$142,0)))</f>
        <v>s.17(5)(c)(d)</v>
      </c>
      <c r="F72" s="6" t="str">
        <f aca="false">IF(B72="","",INDEX('Rule Matrix'!$F$2:$F$142,MATCH(B72,'Rule Matrix'!$A$2:$A$142,0)))</f>
        <v>Building/civil CWIP with ITC; P&amp;M classification</v>
      </c>
      <c r="G72" s="6" t="str">
        <f aca="false">IF(B72="","",INDEX('Rule Matrix'!$G$2:$G$142,MATCH(B72,'Rule Matrix'!$A$2:$A$142,0)))</f>
        <v>Any</v>
      </c>
      <c r="H72" s="6" t="str">
        <f aca="false">IF(B72="","",INDEX('Rule Matrix'!$H$2:$H$142,MATCH(B72,'Rule Matrix'!$A$2:$A$142,0)))</f>
        <v>High</v>
      </c>
      <c r="I72" s="6" t="str">
        <f aca="false">IF(B72="","",INDEX('Rule Matrix'!$J$2:$J$142,MATCH(B72,'Rule Matrix'!$A$2:$A$142,0)))</f>
        <v>Reverse</v>
      </c>
      <c r="Z72" s="22" t="str">
        <f aca="false">Applicability!A66</f>
        <v>H-01</v>
      </c>
      <c r="AA72" s="22" t="n">
        <f aca="false">IF($Z$5=0,0,IF(AND(INDEX(Applicability!$E$66:$O$66,1,$Z$5)="Y",OR(Applicability!$D$66="",IFERROR(INDEX($B$4:$F$4,MATCH(Applicability!$D$66,$B$3:$F$3,0)),"N")="Y")),1,0))</f>
        <v>1</v>
      </c>
      <c r="AB72" s="22" t="n">
        <f aca="false">IF(AA72=1,SUM(AA$8:AA72),"")</f>
        <v>57</v>
      </c>
    </row>
    <row r="73" customFormat="false" ht="22.35" hidden="false" customHeight="false" outlineLevel="0" collapsed="false">
      <c r="A73" s="6" t="n">
        <f aca="false">IF(66&gt;$B$5,"",66)</f>
        <v>66</v>
      </c>
      <c r="B73" s="6" t="str">
        <f aca="false">IF(A73="","",INDEX($Z$8:$Z$148,MATCH(A73,$AB$8:$AB$148,0)))</f>
        <v>I-02</v>
      </c>
      <c r="C73" s="6" t="str">
        <f aca="false">IF(B73="","",INDEX('Rule Matrix'!$B$2:$B$142,MATCH(B73,'Rule Matrix'!$A$2:$A$142,0)))</f>
        <v>I. Annual Report Linkages</v>
      </c>
      <c r="D73" s="6" t="str">
        <f aca="false">IF(B73="","",INDEX('Rule Matrix'!$C$2:$C$142,MATCH(B73,'Rule Matrix'!$A$2:$A$142,0)))</f>
        <v>Expense heads vs 3CD cl.44</v>
      </c>
      <c r="E73" s="6" t="str">
        <f aca="false">IF(B73="","",INDEX('Rule Matrix'!$D$2:$D$142,MATCH(B73,'Rule Matrix'!$A$2:$A$142,0)))</f>
        <v>s.16, s.17</v>
      </c>
      <c r="F73" s="6" t="str">
        <f aca="false">IF(B73="","",INDEX('Rule Matrix'!$F$2:$F$142,MATCH(B73,'Rule Matrix'!$A$2:$A$142,0)))</f>
        <v>ITC claimed on expenses shown as unregistered/exempt/composition in cl.44</v>
      </c>
      <c r="G73" s="6" t="str">
        <f aca="false">IF(B73="","",INDEX('Rule Matrix'!$G$2:$G$142,MATCH(B73,'Rule Matrix'!$A$2:$A$142,0)))</f>
        <v>Any</v>
      </c>
      <c r="H73" s="6" t="str">
        <f aca="false">IF(B73="","",INDEX('Rule Matrix'!$H$2:$H$142,MATCH(B73,'Rule Matrix'!$A$2:$A$142,0)))</f>
        <v>High</v>
      </c>
      <c r="I73" s="6" t="str">
        <f aca="false">IF(B73="","",INDEX('Rule Matrix'!$J$2:$J$142,MATCH(B73,'Rule Matrix'!$A$2:$A$142,0)))</f>
        <v>Reverse</v>
      </c>
      <c r="Z73" s="22" t="str">
        <f aca="false">Applicability!A67</f>
        <v>H-02</v>
      </c>
      <c r="AA73" s="22" t="n">
        <f aca="false">IF($Z$5=0,0,IF(AND(INDEX(Applicability!$E$67:$O$67,1,$Z$5)="Y",OR(Applicability!$D$67="",IFERROR(INDEX($B$4:$F$4,MATCH(Applicability!$D$67,$B$3:$F$3,0)),"N")="Y")),1,0))</f>
        <v>1</v>
      </c>
      <c r="AB73" s="22" t="n">
        <f aca="false">IF(AA73=1,SUM(AA$8:AA73),"")</f>
        <v>58</v>
      </c>
    </row>
    <row r="74" customFormat="false" ht="22.35" hidden="false" customHeight="false" outlineLevel="0" collapsed="false">
      <c r="A74" s="6" t="n">
        <f aca="false">IF(67&gt;$B$5,"",67)</f>
        <v>67</v>
      </c>
      <c r="B74" s="6" t="str">
        <f aca="false">IF(A74="","",INDEX($Z$8:$Z$148,MATCH(A74,$AB$8:$AB$148,0)))</f>
        <v>I-03</v>
      </c>
      <c r="C74" s="6" t="str">
        <f aca="false">IF(B74="","",INDEX('Rule Matrix'!$B$2:$B$142,MATCH(B74,'Rule Matrix'!$A$2:$A$142,0)))</f>
        <v>I. Annual Report Linkages</v>
      </c>
      <c r="D74" s="6" t="str">
        <f aca="false">IF(B74="","",INDEX('Rule Matrix'!$C$2:$C$142,MATCH(B74,'Rule Matrix'!$A$2:$A$142,0)))</f>
        <v>Inventory losses &amp; write-offs</v>
      </c>
      <c r="E74" s="6" t="str">
        <f aca="false">IF(B74="","",INDEX('Rule Matrix'!$D$2:$D$142,MATCH(B74,'Rule Matrix'!$A$2:$A$142,0)))</f>
        <v>s.17(5)(h)</v>
      </c>
      <c r="F74" s="6" t="str">
        <f aca="false">IF(B74="","",INDEX('Rule Matrix'!$F$2:$F$142,MATCH(B74,'Rule Matrix'!$A$2:$A$142,0)))</f>
        <v>Shortages, obsolescence, destruction written off without ITC reversal</v>
      </c>
      <c r="G74" s="6" t="str">
        <f aca="false">IF(B74="","",INDEX('Rule Matrix'!$G$2:$G$142,MATCH(B74,'Rule Matrix'!$A$2:$A$142,0)))</f>
        <v>Any</v>
      </c>
      <c r="H74" s="6" t="str">
        <f aca="false">IF(B74="","",INDEX('Rule Matrix'!$H$2:$H$142,MATCH(B74,'Rule Matrix'!$A$2:$A$142,0)))</f>
        <v>High</v>
      </c>
      <c r="I74" s="6" t="str">
        <f aca="false">IF(B74="","",INDEX('Rule Matrix'!$J$2:$J$142,MATCH(B74,'Rule Matrix'!$A$2:$A$142,0)))</f>
        <v>Reverse</v>
      </c>
      <c r="Z74" s="22" t="str">
        <f aca="false">Applicability!A68</f>
        <v>H-03</v>
      </c>
      <c r="AA74" s="22" t="n">
        <f aca="false">IF($Z$5=0,0,IF(AND(INDEX(Applicability!$E$68:$O$68,1,$Z$5)="Y",OR(Applicability!$D$68="",IFERROR(INDEX($B$4:$F$4,MATCH(Applicability!$D$68,$B$3:$F$3,0)),"N")="Y")),1,0))</f>
        <v>1</v>
      </c>
      <c r="AB74" s="22" t="n">
        <f aca="false">IF(AA74=1,SUM(AA$8:AA74),"")</f>
        <v>59</v>
      </c>
    </row>
    <row r="75" customFormat="false" ht="15" hidden="false" customHeight="false" outlineLevel="0" collapsed="false">
      <c r="A75" s="6" t="n">
        <f aca="false">IF(68&gt;$B$5,"",68)</f>
        <v>68</v>
      </c>
      <c r="B75" s="6" t="str">
        <f aca="false">IF(A75="","",INDEX($Z$8:$Z$148,MATCH(A75,$AB$8:$AB$148,0)))</f>
        <v>I-04</v>
      </c>
      <c r="C75" s="6" t="str">
        <f aca="false">IF(B75="","",INDEX('Rule Matrix'!$B$2:$B$142,MATCH(B75,'Rule Matrix'!$A$2:$A$142,0)))</f>
        <v>I. Annual Report Linkages</v>
      </c>
      <c r="D75" s="6" t="str">
        <f aca="false">IF(B75="","",INDEX('Rule Matrix'!$C$2:$C$142,MATCH(B75,'Rule Matrix'!$A$2:$A$142,0)))</f>
        <v>Trade payables &gt; 180 days</v>
      </c>
      <c r="E75" s="6" t="str">
        <f aca="false">IF(B75="","",INDEX('Rule Matrix'!$D$2:$D$142,MATCH(B75,'Rule Matrix'!$A$2:$A$142,0)))</f>
        <v>Rule 37</v>
      </c>
      <c r="F75" s="6" t="str">
        <f aca="false">IF(B75="","",INDEX('Rule Matrix'!$F$2:$F$142,MATCH(B75,'Rule Matrix'!$A$2:$A$142,0)))</f>
        <v>Cross-check with ITC reversal</v>
      </c>
      <c r="G75" s="6" t="str">
        <f aca="false">IF(B75="","",INDEX('Rule Matrix'!$G$2:$G$142,MATCH(B75,'Rule Matrix'!$A$2:$A$142,0)))</f>
        <v>Any gap</v>
      </c>
      <c r="H75" s="6" t="str">
        <f aca="false">IF(B75="","",INDEX('Rule Matrix'!$H$2:$H$142,MATCH(B75,'Rule Matrix'!$A$2:$A$142,0)))</f>
        <v>High</v>
      </c>
      <c r="I75" s="6" t="str">
        <f aca="false">IF(B75="","",INDEX('Rule Matrix'!$J$2:$J$142,MATCH(B75,'Rule Matrix'!$A$2:$A$142,0)))</f>
        <v>Reverse</v>
      </c>
      <c r="Z75" s="22" t="str">
        <f aca="false">Applicability!A69</f>
        <v>H-04</v>
      </c>
      <c r="AA75" s="22" t="n">
        <f aca="false">IF($Z$5=0,0,IF(AND(INDEX(Applicability!$E$69:$O$69,1,$Z$5)="Y",OR(Applicability!$D$69="",IFERROR(INDEX($B$4:$F$4,MATCH(Applicability!$D$69,$B$3:$F$3,0)),"N")="Y")),1,0))</f>
        <v>1</v>
      </c>
      <c r="AB75" s="22" t="n">
        <f aca="false">IF(AA75=1,SUM(AA$8:AA75),"")</f>
        <v>60</v>
      </c>
    </row>
    <row r="76" customFormat="false" ht="15" hidden="false" customHeight="false" outlineLevel="0" collapsed="false">
      <c r="A76" s="6" t="n">
        <f aca="false">IF(69&gt;$B$5,"",69)</f>
        <v>69</v>
      </c>
      <c r="B76" s="6" t="str">
        <f aca="false">IF(A76="","",INDEX($Z$8:$Z$148,MATCH(A76,$AB$8:$AB$148,0)))</f>
        <v>I-05</v>
      </c>
      <c r="C76" s="6" t="str">
        <f aca="false">IF(B76="","",INDEX('Rule Matrix'!$B$2:$B$142,MATCH(B76,'Rule Matrix'!$A$2:$A$142,0)))</f>
        <v>I. Annual Report Linkages</v>
      </c>
      <c r="D76" s="6" t="str">
        <f aca="false">IF(B76="","",INDEX('Rule Matrix'!$C$2:$C$142,MATCH(B76,'Rule Matrix'!$A$2:$A$142,0)))</f>
        <v>Year-end accruals</v>
      </c>
      <c r="E76" s="6" t="str">
        <f aca="false">IF(B76="","",INDEX('Rule Matrix'!$D$2:$D$142,MATCH(B76,'Rule Matrix'!$A$2:$A$142,0)))</f>
        <v>s.16(2)(a)</v>
      </c>
      <c r="F76" s="6" t="str">
        <f aca="false">IF(B76="","",INDEX('Rule Matrix'!$F$2:$F$142,MATCH(B76,'Rule Matrix'!$A$2:$A$142,0)))</f>
        <v>ITC claimed on provisions without invoice</v>
      </c>
      <c r="G76" s="6" t="str">
        <f aca="false">IF(B76="","",INDEX('Rule Matrix'!$G$2:$G$142,MATCH(B76,'Rule Matrix'!$A$2:$A$142,0)))</f>
        <v>Any</v>
      </c>
      <c r="H76" s="6" t="str">
        <f aca="false">IF(B76="","",INDEX('Rule Matrix'!$H$2:$H$142,MATCH(B76,'Rule Matrix'!$A$2:$A$142,0)))</f>
        <v>Med</v>
      </c>
      <c r="I76" s="6" t="str">
        <f aca="false">IF(B76="","",INDEX('Rule Matrix'!$J$2:$J$142,MATCH(B76,'Rule Matrix'!$A$2:$A$142,0)))</f>
        <v>Reverse</v>
      </c>
      <c r="Z76" s="22" t="str">
        <f aca="false">Applicability!A70</f>
        <v>H-05</v>
      </c>
      <c r="AA76" s="22" t="n">
        <f aca="false">IF($Z$5=0,0,IF(AND(INDEX(Applicability!$E$70:$O$70,1,$Z$5)="Y",OR(Applicability!$D$70="",IFERROR(INDEX($B$4:$F$4,MATCH(Applicability!$D$70,$B$3:$F$3,0)),"N")="Y")),1,0))</f>
        <v>1</v>
      </c>
      <c r="AB76" s="22" t="n">
        <f aca="false">IF(AA76=1,SUM(AA$8:AA76),"")</f>
        <v>61</v>
      </c>
    </row>
    <row r="77" customFormat="false" ht="15" hidden="false" customHeight="false" outlineLevel="0" collapsed="false">
      <c r="A77" s="6" t="n">
        <f aca="false">IF(70&gt;$B$5,"",70)</f>
        <v>70</v>
      </c>
      <c r="B77" s="6" t="str">
        <f aca="false">IF(A77="","",INDEX($Z$8:$Z$148,MATCH(A77,$AB$8:$AB$148,0)))</f>
        <v>I-06</v>
      </c>
      <c r="C77" s="6" t="str">
        <f aca="false">IF(B77="","",INDEX('Rule Matrix'!$B$2:$B$142,MATCH(B77,'Rule Matrix'!$A$2:$A$142,0)))</f>
        <v>I. Annual Report Linkages</v>
      </c>
      <c r="D77" s="6" t="str">
        <f aca="false">IF(B77="","",INDEX('Rule Matrix'!$C$2:$C$142,MATCH(B77,'Rule Matrix'!$A$2:$A$142,0)))</f>
        <v>Bad debts written off</v>
      </c>
      <c r="E77" s="6" t="str">
        <f aca="false">IF(B77="","",INDEX('Rule Matrix'!$D$2:$D$142,MATCH(B77,'Rule Matrix'!$A$2:$A$142,0)))</f>
        <v>s.34</v>
      </c>
      <c r="F77" s="6" t="str">
        <f aca="false">IF(B77="","",INDEX('Rule Matrix'!$F$2:$F$142,MATCH(B77,'Rule Matrix'!$A$2:$A$142,0)))</f>
        <v>Output tax reduced without valid CN</v>
      </c>
      <c r="G77" s="6" t="str">
        <f aca="false">IF(B77="","",INDEX('Rule Matrix'!$G$2:$G$142,MATCH(B77,'Rule Matrix'!$A$2:$A$142,0)))</f>
        <v>Any</v>
      </c>
      <c r="H77" s="6" t="str">
        <f aca="false">IF(B77="","",INDEX('Rule Matrix'!$H$2:$H$142,MATCH(B77,'Rule Matrix'!$A$2:$A$142,0)))</f>
        <v>Med</v>
      </c>
      <c r="I77" s="6" t="str">
        <f aca="false">IF(B77="","",INDEX('Rule Matrix'!$J$2:$J$142,MATCH(B77,'Rule Matrix'!$A$2:$A$142,0)))</f>
        <v>Reverse</v>
      </c>
      <c r="Z77" s="22" t="str">
        <f aca="false">Applicability!A71</f>
        <v>H-06</v>
      </c>
      <c r="AA77" s="22" t="n">
        <f aca="false">IF($Z$5=0,0,IF(AND(INDEX(Applicability!$E$71:$O$71,1,$Z$5)="Y",OR(Applicability!$D$71="",IFERROR(INDEX($B$4:$F$4,MATCH(Applicability!$D$71,$B$3:$F$3,0)),"N")="Y")),1,0))</f>
        <v>1</v>
      </c>
      <c r="AB77" s="22" t="n">
        <f aca="false">IF(AA77=1,SUM(AA$8:AA77),"")</f>
        <v>62</v>
      </c>
    </row>
    <row r="78" customFormat="false" ht="15" hidden="false" customHeight="false" outlineLevel="0" collapsed="false">
      <c r="A78" s="6" t="n">
        <f aca="false">IF(71&gt;$B$5,"",71)</f>
        <v>71</v>
      </c>
      <c r="B78" s="6" t="str">
        <f aca="false">IF(A78="","",INDEX($Z$8:$Z$148,MATCH(A78,$AB$8:$AB$148,0)))</f>
        <v>I-07</v>
      </c>
      <c r="C78" s="6" t="str">
        <f aca="false">IF(B78="","",INDEX('Rule Matrix'!$B$2:$B$142,MATCH(B78,'Rule Matrix'!$A$2:$A$142,0)))</f>
        <v>I. Annual Report Linkages</v>
      </c>
      <c r="D78" s="6" t="str">
        <f aca="false">IF(B78="","",INDEX('Rule Matrix'!$C$2:$C$142,MATCH(B78,'Rule Matrix'!$A$2:$A$142,0)))</f>
        <v>Contingent liabilities &amp; CARO (vii)</v>
      </c>
      <c r="E78" s="6" t="str">
        <f aca="false">IF(B78="","",INDEX('Rule Matrix'!$D$2:$D$142,MATCH(B78,'Rule Matrix'!$A$2:$A$142,0)))</f>
        <v>—</v>
      </c>
      <c r="F78" s="6" t="str">
        <f aca="false">IF(B78="","",INDEX('Rule Matrix'!$F$2:$F$142,MATCH(B78,'Rule Matrix'!$A$2:$A$142,0)))</f>
        <v>Disputed/undisputed GST dues, pending notices captured</v>
      </c>
      <c r="G78" s="6" t="str">
        <f aca="false">IF(B78="","",INDEX('Rule Matrix'!$G$2:$G$142,MATCH(B78,'Rule Matrix'!$A$2:$A$142,0)))</f>
        <v>Any</v>
      </c>
      <c r="H78" s="6" t="str">
        <f aca="false">IF(B78="","",INDEX('Rule Matrix'!$H$2:$H$142,MATCH(B78,'Rule Matrix'!$A$2:$A$142,0)))</f>
        <v>Med</v>
      </c>
      <c r="I78" s="6" t="str">
        <f aca="false">IF(B78="","",INDEX('Rule Matrix'!$J$2:$J$142,MATCH(B78,'Rule Matrix'!$A$2:$A$142,0)))</f>
        <v>Track / provide</v>
      </c>
      <c r="Z78" s="22" t="str">
        <f aca="false">Applicability!A72</f>
        <v>H-07</v>
      </c>
      <c r="AA78" s="22" t="n">
        <f aca="false">IF($Z$5=0,0,IF(AND(INDEX(Applicability!$E$72:$O$72,1,$Z$5)="Y",OR(Applicability!$D$72="",IFERROR(INDEX($B$4:$F$4,MATCH(Applicability!$D$72,$B$3:$F$3,0)),"N")="Y")),1,0))</f>
        <v>1</v>
      </c>
      <c r="AB78" s="22" t="n">
        <f aca="false">IF(AA78=1,SUM(AA$8:AA78),"")</f>
        <v>63</v>
      </c>
    </row>
    <row r="79" customFormat="false" ht="15" hidden="false" customHeight="false" outlineLevel="0" collapsed="false">
      <c r="A79" s="6" t="n">
        <f aca="false">IF(72&gt;$B$5,"",72)</f>
        <v>72</v>
      </c>
      <c r="B79" s="6" t="str">
        <f aca="false">IF(A79="","",INDEX($Z$8:$Z$148,MATCH(A79,$AB$8:$AB$148,0)))</f>
        <v>I-08</v>
      </c>
      <c r="C79" s="6" t="str">
        <f aca="false">IF(B79="","",INDEX('Rule Matrix'!$B$2:$B$142,MATCH(B79,'Rule Matrix'!$A$2:$A$142,0)))</f>
        <v>I. Annual Report Linkages</v>
      </c>
      <c r="D79" s="6" t="str">
        <f aca="false">IF(B79="","",INDEX('Rule Matrix'!$C$2:$C$142,MATCH(B79,'Rule Matrix'!$A$2:$A$142,0)))</f>
        <v>Deferred revenue / unbilled revenue</v>
      </c>
      <c r="E79" s="6" t="str">
        <f aca="false">IF(B79="","",INDEX('Rule Matrix'!$D$2:$D$142,MATCH(B79,'Rule Matrix'!$A$2:$A$142,0)))</f>
        <v>s.12, s.13, s.31</v>
      </c>
      <c r="F79" s="6" t="str">
        <f aca="false">IF(B79="","",INDEX('Rule Matrix'!$F$2:$F$142,MATCH(B79,'Rule Matrix'!$A$2:$A$142,0)))</f>
        <v>Time of supply triggered on milestones/due date vs invoicing</v>
      </c>
      <c r="G79" s="6" t="str">
        <f aca="false">IF(B79="","",INDEX('Rule Matrix'!$G$2:$G$142,MATCH(B79,'Rule Matrix'!$A$2:$A$142,0)))</f>
        <v>Any</v>
      </c>
      <c r="H79" s="6" t="str">
        <f aca="false">IF(B79="","",INDEX('Rule Matrix'!$H$2:$H$142,MATCH(B79,'Rule Matrix'!$A$2:$A$142,0)))</f>
        <v>Med</v>
      </c>
      <c r="I79" s="6" t="str">
        <f aca="false">IF(B79="","",INDEX('Rule Matrix'!$J$2:$J$142,MATCH(B79,'Rule Matrix'!$A$2:$A$142,0)))</f>
        <v>Pay</v>
      </c>
      <c r="Z79" s="22" t="str">
        <f aca="false">Applicability!A73</f>
        <v>H-08</v>
      </c>
      <c r="AA79" s="22" t="n">
        <f aca="false">IF($Z$5=0,0,IF(AND(INDEX(Applicability!$E$73:$O$73,1,$Z$5)="Y",OR(Applicability!$D$73="",IFERROR(INDEX($B$4:$F$4,MATCH(Applicability!$D$73,$B$3:$F$3,0)),"N")="Y")),1,0))</f>
        <v>1</v>
      </c>
      <c r="AB79" s="22" t="n">
        <f aca="false">IF(AA79=1,SUM(AA$8:AA79),"")</f>
        <v>64</v>
      </c>
    </row>
    <row r="80" customFormat="false" ht="22.35" hidden="false" customHeight="false" outlineLevel="0" collapsed="false">
      <c r="A80" s="6" t="n">
        <f aca="false">IF(73&gt;$B$5,"",73)</f>
        <v>73</v>
      </c>
      <c r="B80" s="6" t="str">
        <f aca="false">IF(A80="","",INDEX($Z$8:$Z$148,MATCH(A80,$AB$8:$AB$148,0)))</f>
        <v>J-01</v>
      </c>
      <c r="C80" s="6" t="str">
        <f aca="false">IF(B80="","",INDEX('Rule Matrix'!$B$2:$B$142,MATCH(B80,'Rule Matrix'!$A$2:$A$142,0)))</f>
        <v>J. Interest, Fees, Payments</v>
      </c>
      <c r="D80" s="6" t="str">
        <f aca="false">IF(B80="","",INDEX('Rule Matrix'!$C$2:$C$142,MATCH(B80,'Rule Matrix'!$A$2:$A$142,0)))</f>
        <v>Interest on delayed payment</v>
      </c>
      <c r="E80" s="6" t="str">
        <f aca="false">IF(B80="","",INDEX('Rule Matrix'!$D$2:$D$142,MATCH(B80,'Rule Matrix'!$A$2:$A$142,0)))</f>
        <v>s.50(1), proviso</v>
      </c>
      <c r="F80" s="6" t="str">
        <f aca="false">IF(B80="","",INDEX('Rule Matrix'!$F$2:$F$142,MATCH(B80,'Rule Matrix'!$A$2:$A$142,0)))</f>
        <v>18% on net cash liability paid late</v>
      </c>
      <c r="G80" s="6" t="str">
        <f aca="false">IF(B80="","",INDEX('Rule Matrix'!$G$2:$G$142,MATCH(B80,'Rule Matrix'!$A$2:$A$142,0)))</f>
        <v>Any</v>
      </c>
      <c r="H80" s="6" t="str">
        <f aca="false">IF(B80="","",INDEX('Rule Matrix'!$H$2:$H$142,MATCH(B80,'Rule Matrix'!$A$2:$A$142,0)))</f>
        <v>Med</v>
      </c>
      <c r="I80" s="6" t="str">
        <f aca="false">IF(B80="","",INDEX('Rule Matrix'!$J$2:$J$142,MATCH(B80,'Rule Matrix'!$A$2:$A$142,0)))</f>
        <v>Pay via DRC-03</v>
      </c>
      <c r="Z80" s="22" t="str">
        <f aca="false">Applicability!A74</f>
        <v>I-01</v>
      </c>
      <c r="AA80" s="22" t="n">
        <f aca="false">IF($Z$5=0,0,IF(AND(INDEX(Applicability!$E$74:$O$74,1,$Z$5)="Y",OR(Applicability!$D$74="",IFERROR(INDEX($B$4:$F$4,MATCH(Applicability!$D$74,$B$3:$F$3,0)),"N")="Y")),1,0))</f>
        <v>1</v>
      </c>
      <c r="AB80" s="22" t="n">
        <f aca="false">IF(AA80=1,SUM(AA$8:AA80),"")</f>
        <v>65</v>
      </c>
    </row>
    <row r="81" customFormat="false" ht="22.35" hidden="false" customHeight="false" outlineLevel="0" collapsed="false">
      <c r="A81" s="6" t="n">
        <f aca="false">IF(74&gt;$B$5,"",74)</f>
        <v>74</v>
      </c>
      <c r="B81" s="6" t="str">
        <f aca="false">IF(A81="","",INDEX($Z$8:$Z$148,MATCH(A81,$AB$8:$AB$148,0)))</f>
        <v>J-02</v>
      </c>
      <c r="C81" s="6" t="str">
        <f aca="false">IF(B81="","",INDEX('Rule Matrix'!$B$2:$B$142,MATCH(B81,'Rule Matrix'!$A$2:$A$142,0)))</f>
        <v>J. Interest, Fees, Payments</v>
      </c>
      <c r="D81" s="6" t="str">
        <f aca="false">IF(B81="","",INDEX('Rule Matrix'!$C$2:$C$142,MATCH(B81,'Rule Matrix'!$A$2:$A$142,0)))</f>
        <v>Interest on wrong ITC availed &amp; utilised</v>
      </c>
      <c r="E81" s="6" t="str">
        <f aca="false">IF(B81="","",INDEX('Rule Matrix'!$D$2:$D$142,MATCH(B81,'Rule Matrix'!$A$2:$A$142,0)))</f>
        <v>s.50(3), Rule 88B</v>
      </c>
      <c r="F81" s="6" t="str">
        <f aca="false">IF(B81="","",INDEX('Rule Matrix'!$F$2:$F$142,MATCH(B81,'Rule Matrix'!$A$2:$A$142,0)))</f>
        <v>18% only when ITC utilised (ledger balance below wrong ITC)</v>
      </c>
      <c r="G81" s="6" t="str">
        <f aca="false">IF(B81="","",INDEX('Rule Matrix'!$G$2:$G$142,MATCH(B81,'Rule Matrix'!$A$2:$A$142,0)))</f>
        <v>Any</v>
      </c>
      <c r="H81" s="6" t="str">
        <f aca="false">IF(B81="","",INDEX('Rule Matrix'!$H$2:$H$142,MATCH(B81,'Rule Matrix'!$A$2:$A$142,0)))</f>
        <v>High</v>
      </c>
      <c r="I81" s="6" t="str">
        <f aca="false">IF(B81="","",INDEX('Rule Matrix'!$J$2:$J$142,MATCH(B81,'Rule Matrix'!$A$2:$A$142,0)))</f>
        <v>Pay</v>
      </c>
      <c r="Z81" s="22" t="str">
        <f aca="false">Applicability!A75</f>
        <v>I-02</v>
      </c>
      <c r="AA81" s="22" t="n">
        <f aca="false">IF($Z$5=0,0,IF(AND(INDEX(Applicability!$E$75:$O$75,1,$Z$5)="Y",OR(Applicability!$D$75="",IFERROR(INDEX($B$4:$F$4,MATCH(Applicability!$D$75,$B$3:$F$3,0)),"N")="Y")),1,0))</f>
        <v>1</v>
      </c>
      <c r="AB81" s="22" t="n">
        <f aca="false">IF(AA81=1,SUM(AA$8:AA81),"")</f>
        <v>66</v>
      </c>
    </row>
    <row r="82" customFormat="false" ht="22.35" hidden="false" customHeight="false" outlineLevel="0" collapsed="false">
      <c r="A82" s="6" t="n">
        <f aca="false">IF(75&gt;$B$5,"",75)</f>
        <v>75</v>
      </c>
      <c r="B82" s="6" t="str">
        <f aca="false">IF(A82="","",INDEX($Z$8:$Z$148,MATCH(A82,$AB$8:$AB$148,0)))</f>
        <v>J-03</v>
      </c>
      <c r="C82" s="6" t="str">
        <f aca="false">IF(B82="","",INDEX('Rule Matrix'!$B$2:$B$142,MATCH(B82,'Rule Matrix'!$A$2:$A$142,0)))</f>
        <v>J. Interest, Fees, Payments</v>
      </c>
      <c r="D82" s="6" t="str">
        <f aca="false">IF(B82="","",INDEX('Rule Matrix'!$C$2:$C$142,MATCH(B82,'Rule Matrix'!$A$2:$A$142,0)))</f>
        <v>Late fees</v>
      </c>
      <c r="E82" s="6" t="str">
        <f aca="false">IF(B82="","",INDEX('Rule Matrix'!$D$2:$D$142,MATCH(B82,'Rule Matrix'!$A$2:$A$142,0)))</f>
        <v>s.47</v>
      </c>
      <c r="F82" s="6" t="str">
        <f aca="false">IF(B82="","",INDEX('Rule Matrix'!$F$2:$F$142,MATCH(B82,'Rule Matrix'!$A$2:$A$142,0)))</f>
        <v>GSTR-1/3B/9 late fee computation</v>
      </c>
      <c r="G82" s="6" t="str">
        <f aca="false">IF(B82="","",INDEX('Rule Matrix'!$G$2:$G$142,MATCH(B82,'Rule Matrix'!$A$2:$A$142,0)))</f>
        <v>Any</v>
      </c>
      <c r="H82" s="6" t="str">
        <f aca="false">IF(B82="","",INDEX('Rule Matrix'!$H$2:$H$142,MATCH(B82,'Rule Matrix'!$A$2:$A$142,0)))</f>
        <v>Low</v>
      </c>
      <c r="I82" s="6" t="str">
        <f aca="false">IF(B82="","",INDEX('Rule Matrix'!$J$2:$J$142,MATCH(B82,'Rule Matrix'!$A$2:$A$142,0)))</f>
        <v>Pay</v>
      </c>
      <c r="Z82" s="22" t="str">
        <f aca="false">Applicability!A76</f>
        <v>I-03</v>
      </c>
      <c r="AA82" s="22" t="n">
        <f aca="false">IF($Z$5=0,0,IF(AND(INDEX(Applicability!$E$76:$O$76,1,$Z$5)="Y",OR(Applicability!$D$76="",IFERROR(INDEX($B$4:$F$4,MATCH(Applicability!$D$76,$B$3:$F$3,0)),"N")="Y")),1,0))</f>
        <v>1</v>
      </c>
      <c r="AB82" s="22" t="n">
        <f aca="false">IF(AA82=1,SUM(AA$8:AA82),"")</f>
        <v>67</v>
      </c>
    </row>
    <row r="83" customFormat="false" ht="22.35" hidden="false" customHeight="false" outlineLevel="0" collapsed="false">
      <c r="A83" s="6" t="n">
        <f aca="false">IF(76&gt;$B$5,"",76)</f>
        <v>76</v>
      </c>
      <c r="B83" s="6" t="str">
        <f aca="false">IF(A83="","",INDEX($Z$8:$Z$148,MATCH(A83,$AB$8:$AB$148,0)))</f>
        <v>J-04</v>
      </c>
      <c r="C83" s="6" t="str">
        <f aca="false">IF(B83="","",INDEX('Rule Matrix'!$B$2:$B$142,MATCH(B83,'Rule Matrix'!$A$2:$A$142,0)))</f>
        <v>J. Interest, Fees, Payments</v>
      </c>
      <c r="D83" s="6" t="str">
        <f aca="false">IF(B83="","",INDEX('Rule Matrix'!$C$2:$C$142,MATCH(B83,'Rule Matrix'!$A$2:$A$142,0)))</f>
        <v>DRC-03 mapping</v>
      </c>
      <c r="E83" s="6" t="str">
        <f aca="false">IF(B83="","",INDEX('Rule Matrix'!$D$2:$D$142,MATCH(B83,'Rule Matrix'!$A$2:$A$142,0)))</f>
        <v>Rule 142(2)</v>
      </c>
      <c r="F83" s="6" t="str">
        <f aca="false">IF(B83="","",INDEX('Rule Matrix'!$F$2:$F$142,MATCH(B83,'Rule Matrix'!$A$2:$A$142,0)))</f>
        <v>Each voluntary payment mapped to issue &amp; period; ledger debit correct</v>
      </c>
      <c r="G83" s="6" t="str">
        <f aca="false">IF(B83="","",INDEX('Rule Matrix'!$G$2:$G$142,MATCH(B83,'Rule Matrix'!$A$2:$A$142,0)))</f>
        <v>Unmapped</v>
      </c>
      <c r="H83" s="6" t="str">
        <f aca="false">IF(B83="","",INDEX('Rule Matrix'!$H$2:$H$142,MATCH(B83,'Rule Matrix'!$A$2:$A$142,0)))</f>
        <v>Low</v>
      </c>
      <c r="I83" s="6" t="str">
        <f aca="false">IF(B83="","",INDEX('Rule Matrix'!$J$2:$J$142,MATCH(B83,'Rule Matrix'!$A$2:$A$142,0)))</f>
        <v>Map / DRC-03A</v>
      </c>
      <c r="Z83" s="22" t="str">
        <f aca="false">Applicability!A77</f>
        <v>I-04</v>
      </c>
      <c r="AA83" s="22" t="n">
        <f aca="false">IF($Z$5=0,0,IF(AND(INDEX(Applicability!$E$77:$O$77,1,$Z$5)="Y",OR(Applicability!$D$77="",IFERROR(INDEX($B$4:$F$4,MATCH(Applicability!$D$77,$B$3:$F$3,0)),"N")="Y")),1,0))</f>
        <v>1</v>
      </c>
      <c r="AB83" s="22" t="n">
        <f aca="false">IF(AA83=1,SUM(AA$8:AA83),"")</f>
        <v>68</v>
      </c>
    </row>
    <row r="84" customFormat="false" ht="32.8" hidden="false" customHeight="false" outlineLevel="0" collapsed="false">
      <c r="A84" s="6" t="n">
        <f aca="false">IF(77&gt;$B$5,"",77)</f>
        <v>77</v>
      </c>
      <c r="B84" s="6" t="str">
        <f aca="false">IF(A84="","",INDEX($Z$8:$Z$148,MATCH(A84,$AB$8:$AB$148,0)))</f>
        <v>K-01</v>
      </c>
      <c r="C84" s="6" t="str">
        <f aca="false">IF(B84="","",INDEX('Rule Matrix'!$B$2:$B$142,MATCH(B84,'Rule Matrix'!$A$2:$A$142,0)))</f>
        <v>K. Sec 73 / 74 / 74A Applicability</v>
      </c>
      <c r="D84" s="6" t="str">
        <f aca="false">IF(B84="","",INDEX('Rule Matrix'!$C$2:$C$142,MATCH(B84,'Rule Matrix'!$A$2:$A$142,0)))</f>
        <v>Proceeding section by FY</v>
      </c>
      <c r="E84" s="6" t="str">
        <f aca="false">IF(B84="","",INDEX('Rule Matrix'!$D$2:$D$142,MATCH(B84,'Rule Matrix'!$A$2:$A$142,0)))</f>
        <v>s.73, 74 (up to FY 2023-24); s.74A (FY 2024-25 onwards) – F(No.2)A 2024</v>
      </c>
      <c r="F84" s="6" t="str">
        <f aca="false">IF(B84="","",INDEX('Rule Matrix'!$F$2:$F$142,MATCH(B84,'Rule Matrix'!$A$2:$A$142,0)))</f>
        <v>FY ≤ 2023-24 → s.73 (non-fraud) / s.74 (fraud); FY ≥ 2024-25 → s.74A</v>
      </c>
      <c r="G84" s="6" t="str">
        <f aca="false">IF(B84="","",INDEX('Rule Matrix'!$G$2:$G$142,MATCH(B84,'Rule Matrix'!$A$2:$A$142,0)))</f>
        <v>Every flagged issue</v>
      </c>
      <c r="H84" s="6" t="str">
        <f aca="false">IF(B84="","",INDEX('Rule Matrix'!$H$2:$H$142,MATCH(B84,'Rule Matrix'!$A$2:$A$142,0)))</f>
        <v>High</v>
      </c>
      <c r="I84" s="6" t="str">
        <f aca="false">IF(B84="","",INDEX('Rule Matrix'!$J$2:$J$142,MATCH(B84,'Rule Matrix'!$A$2:$A$142,0)))</f>
        <v>Tag each Fail row via 'Sec 73-74 Classifier' sheet</v>
      </c>
      <c r="Z84" s="22" t="str">
        <f aca="false">Applicability!A78</f>
        <v>I-05</v>
      </c>
      <c r="AA84" s="22" t="n">
        <f aca="false">IF($Z$5=0,0,IF(AND(INDEX(Applicability!$E$78:$O$78,1,$Z$5)="Y",OR(Applicability!$D$78="",IFERROR(INDEX($B$4:$F$4,MATCH(Applicability!$D$78,$B$3:$F$3,0)),"N")="Y")),1,0))</f>
        <v>1</v>
      </c>
      <c r="AB84" s="22" t="n">
        <f aca="false">IF(AA84=1,SUM(AA$8:AA84),"")</f>
        <v>69</v>
      </c>
    </row>
    <row r="85" customFormat="false" ht="64.15" hidden="false" customHeight="false" outlineLevel="0" collapsed="false">
      <c r="A85" s="6" t="n">
        <f aca="false">IF(78&gt;$B$5,"",78)</f>
        <v>78</v>
      </c>
      <c r="B85" s="6" t="str">
        <f aca="false">IF(A85="","",INDEX($Z$8:$Z$148,MATCH(A85,$AB$8:$AB$148,0)))</f>
        <v>K-02</v>
      </c>
      <c r="C85" s="6" t="str">
        <f aca="false">IF(B85="","",INDEX('Rule Matrix'!$B$2:$B$142,MATCH(B85,'Rule Matrix'!$A$2:$A$142,0)))</f>
        <v>K. Sec 73 / 74 / 74A Applicability</v>
      </c>
      <c r="D85" s="6" t="str">
        <f aca="false">IF(B85="","",INDEX('Rule Matrix'!$C$2:$C$142,MATCH(B85,'Rule Matrix'!$A$2:$A$142,0)))</f>
        <v>Fraud / suppression indicators</v>
      </c>
      <c r="E85" s="6" t="str">
        <f aca="false">IF(B85="","",INDEX('Rule Matrix'!$D$2:$D$142,MATCH(B85,'Rule Matrix'!$A$2:$A$142,0)))</f>
        <v>s.74 Expl. 2; s.74A; Uniworth Textiles (2013) 9 SCC 753; Pushpam Pharmaceuticals 1995 Supp (3) SCC 462; Continental Foundation JV (2007) 10 SCC 337</v>
      </c>
      <c r="F85" s="6" t="str">
        <f aca="false">IF(B85="","",INDEX('Rule Matrix'!$F$2:$F$142,MATCH(B85,'Rule Matrix'!$A$2:$A$142,0)))</f>
        <v>Fake invoices / ITC without supply, non-existent vendor, circular trading, non-declaration in returns, not furnishing info on request, wilful misstatement. Defence: mere non-payment, bona fide interpretational dispute or data mismatch ≠ suppression; SCN must specifically allege and evidence intent</v>
      </c>
      <c r="G85" s="6" t="str">
        <f aca="false">IF(B85="","",INDEX('Rule Matrix'!$G$2:$G$142,MATCH(B85,'Rule Matrix'!$A$2:$A$142,0)))</f>
        <v>Any Y</v>
      </c>
      <c r="H85" s="6" t="str">
        <f aca="false">IF(B85="","",INDEX('Rule Matrix'!$H$2:$H$142,MATCH(B85,'Rule Matrix'!$A$2:$A$142,0)))</f>
        <v>High</v>
      </c>
      <c r="I85" s="6" t="str">
        <f aca="false">IF(B85="","",INDEX('Rule Matrix'!$J$2:$J$142,MATCH(B85,'Rule Matrix'!$A$2:$A$142,0)))</f>
        <v>Classify as fraud limb; build defence file</v>
      </c>
      <c r="Z85" s="22" t="str">
        <f aca="false">Applicability!A79</f>
        <v>I-06</v>
      </c>
      <c r="AA85" s="22" t="n">
        <f aca="false">IF($Z$5=0,0,IF(AND(INDEX(Applicability!$E$79:$O$79,1,$Z$5)="Y",OR(Applicability!$D$79="",IFERROR(INDEX($B$4:$F$4,MATCH(Applicability!$D$79,$B$3:$F$3,0)),"N")="Y")),1,0))</f>
        <v>1</v>
      </c>
      <c r="AB85" s="22" t="n">
        <f aca="false">IF(AA85=1,SUM(AA$8:AA85),"")</f>
        <v>70</v>
      </c>
    </row>
    <row r="86" customFormat="false" ht="32.8" hidden="false" customHeight="false" outlineLevel="0" collapsed="false">
      <c r="A86" s="6" t="n">
        <f aca="false">IF(79&gt;$B$5,"",79)</f>
        <v>79</v>
      </c>
      <c r="B86" s="6" t="str">
        <f aca="false">IF(A86="","",INDEX($Z$8:$Z$148,MATCH(A86,$AB$8:$AB$148,0)))</f>
        <v>K-03</v>
      </c>
      <c r="C86" s="6" t="str">
        <f aca="false">IF(B86="","",INDEX('Rule Matrix'!$B$2:$B$142,MATCH(B86,'Rule Matrix'!$A$2:$A$142,0)))</f>
        <v>K. Sec 73 / 74 / 74A Applicability</v>
      </c>
      <c r="D86" s="6" t="str">
        <f aca="false">IF(B86="","",INDEX('Rule Matrix'!$C$2:$C$142,MATCH(B86,'Rule Matrix'!$A$2:$A$142,0)))</f>
        <v>Limitation – SCN &amp; order</v>
      </c>
      <c r="E86" s="6" t="str">
        <f aca="false">IF(B86="","",INDEX('Rule Matrix'!$D$2:$D$142,MATCH(B86,'Rule Matrix'!$A$2:$A$142,0)))</f>
        <v>s.73(2)(10), 74(2)(10), 74A(2)(10)</v>
      </c>
      <c r="F86" s="6" t="str">
        <f aca="false">IF(B86="","",INDEX('Rule Matrix'!$F$2:$F$142,MATCH(B86,'Rule Matrix'!$A$2:$A$142,0)))</f>
        <v>73: order 3 yrs, SCN 3 months earlier; 74: order 5 yrs, SCN 6 months earlier; 74A: SCN 42 months, order 12 months from SCN (+6 extendable)</v>
      </c>
      <c r="G86" s="6" t="str">
        <f aca="false">IF(B86="","",INDEX('Rule Matrix'!$G$2:$G$142,MATCH(B86,'Rule Matrix'!$A$2:$A$142,0)))</f>
        <v>SCN after deadline</v>
      </c>
      <c r="H86" s="6" t="str">
        <f aca="false">IF(B86="","",INDEX('Rule Matrix'!$H$2:$H$142,MATCH(B86,'Rule Matrix'!$A$2:$A$142,0)))</f>
        <v>High</v>
      </c>
      <c r="I86" s="6" t="str">
        <f aca="false">IF(B86="","",INDEX('Rule Matrix'!$J$2:$J$142,MATCH(B86,'Rule Matrix'!$A$2:$A$142,0)))</f>
        <v>Plead limitation</v>
      </c>
      <c r="Z86" s="22" t="str">
        <f aca="false">Applicability!A80</f>
        <v>I-07</v>
      </c>
      <c r="AA86" s="22" t="n">
        <f aca="false">IF($Z$5=0,0,IF(AND(INDEX(Applicability!$E$80:$O$80,1,$Z$5)="Y",OR(Applicability!$D$80="",IFERROR(INDEX($B$4:$F$4,MATCH(Applicability!$D$80,$B$3:$F$3,0)),"N")="Y")),1,0))</f>
        <v>1</v>
      </c>
      <c r="AB86" s="22" t="n">
        <f aca="false">IF(AA86=1,SUM(AA$8:AA86),"")</f>
        <v>71</v>
      </c>
    </row>
    <row r="87" customFormat="false" ht="22.35" hidden="false" customHeight="false" outlineLevel="0" collapsed="false">
      <c r="A87" s="6" t="n">
        <f aca="false">IF(80&gt;$B$5,"",80)</f>
        <v>80</v>
      </c>
      <c r="B87" s="6" t="str">
        <f aca="false">IF(A87="","",INDEX($Z$8:$Z$148,MATCH(A87,$AB$8:$AB$148,0)))</f>
        <v>K-04</v>
      </c>
      <c r="C87" s="6" t="str">
        <f aca="false">IF(B87="","",INDEX('Rule Matrix'!$B$2:$B$142,MATCH(B87,'Rule Matrix'!$A$2:$A$142,0)))</f>
        <v>K. Sec 73 / 74 / 74A Applicability</v>
      </c>
      <c r="D87" s="6" t="str">
        <f aca="false">IF(B87="","",INDEX('Rule Matrix'!$C$2:$C$142,MATCH(B87,'Rule Matrix'!$A$2:$A$142,0)))</f>
        <v>s.74A de minimis</v>
      </c>
      <c r="E87" s="6" t="str">
        <f aca="false">IF(B87="","",INDEX('Rule Matrix'!$D$2:$D$142,MATCH(B87,'Rule Matrix'!$A$2:$A$142,0)))</f>
        <v>s.74A(1) proviso</v>
      </c>
      <c r="F87" s="6" t="str">
        <f aca="false">IF(B87="","",INDEX('Rule Matrix'!$F$2:$F$142,MATCH(B87,'Rule Matrix'!$A$2:$A$142,0)))</f>
        <v>No SCN under s.74A where tax involved in a FY &lt; ₹1,000</v>
      </c>
      <c r="G87" s="6" t="str">
        <f aca="false">IF(B87="","",INDEX('Rule Matrix'!$G$2:$G$142,MATCH(B87,'Rule Matrix'!$A$2:$A$142,0)))</f>
        <v>&lt; ₹1,000</v>
      </c>
      <c r="H87" s="6" t="str">
        <f aca="false">IF(B87="","",INDEX('Rule Matrix'!$H$2:$H$142,MATCH(B87,'Rule Matrix'!$A$2:$A$142,0)))</f>
        <v>Low</v>
      </c>
      <c r="I87" s="6" t="str">
        <f aca="false">IF(B87="","",INDEX('Rule Matrix'!$J$2:$J$142,MATCH(B87,'Rule Matrix'!$A$2:$A$142,0)))</f>
        <v>Object to SCN</v>
      </c>
      <c r="Z87" s="22" t="str">
        <f aca="false">Applicability!A81</f>
        <v>I-08</v>
      </c>
      <c r="AA87" s="22" t="n">
        <f aca="false">IF($Z$5=0,0,IF(AND(INDEX(Applicability!$E$81:$O$81,1,$Z$5)="Y",OR(Applicability!$D$81="",IFERROR(INDEX($B$4:$F$4,MATCH(Applicability!$D$81,$B$3:$F$3,0)),"N")="Y")),1,0))</f>
        <v>1</v>
      </c>
      <c r="AB87" s="22" t="n">
        <f aca="false">IF(AA87=1,SUM(AA$8:AA87),"")</f>
        <v>72</v>
      </c>
    </row>
    <row r="88" customFormat="false" ht="64.15" hidden="false" customHeight="false" outlineLevel="0" collapsed="false">
      <c r="A88" s="6" t="n">
        <f aca="false">IF(81&gt;$B$5,"",81)</f>
        <v>81</v>
      </c>
      <c r="B88" s="6" t="str">
        <f aca="false">IF(A88="","",INDEX($Z$8:$Z$148,MATCH(A88,$AB$8:$AB$148,0)))</f>
        <v>K-05</v>
      </c>
      <c r="C88" s="6" t="str">
        <f aca="false">IF(B88="","",INDEX('Rule Matrix'!$B$2:$B$142,MATCH(B88,'Rule Matrix'!$A$2:$A$142,0)))</f>
        <v>K. Sec 73 / 74 / 74A Applicability</v>
      </c>
      <c r="D88" s="6" t="str">
        <f aca="false">IF(B88="","",INDEX('Rule Matrix'!$C$2:$C$142,MATCH(B88,'Rule Matrix'!$A$2:$A$142,0)))</f>
        <v>COVID extension (s.73 only)</v>
      </c>
      <c r="E88" s="6" t="str">
        <f aca="false">IF(B88="","",INDEX('Rule Matrix'!$D$2:$D$142,MATCH(B88,'Rule Matrix'!$A$2:$A$142,0)))</f>
        <v>Notfn 13/2022, 9/2023, 56/2023 (s.168A); Tata Play (Mad HC, 12.06.2025) struck down; Brunda Infra (Telangana HC) upheld; SC SLP HCC-SEW-MEIL-AAG JV</v>
      </c>
      <c r="F88" s="6" t="str">
        <f aca="false">IF(B88="","",INDEX('Rule Matrix'!$F$2:$F$142,MATCH(B88,'Rule Matrix'!$A$2:$A$142,0)))</f>
        <v>Order deadlines: FY17-18 31.12.2023; FY18-19 30.04.2024; FY19-20 31.08.2024. Validity sub judice before SC – plead limitation where orders rely on these extensions</v>
      </c>
      <c r="G88" s="6" t="str">
        <f aca="false">IF(B88="","",INDEX('Rule Matrix'!$G$2:$G$142,MATCH(B88,'Rule Matrix'!$A$2:$A$142,0)))</f>
        <v>Order after date</v>
      </c>
      <c r="H88" s="6" t="str">
        <f aca="false">IF(B88="","",INDEX('Rule Matrix'!$H$2:$H$142,MATCH(B88,'Rule Matrix'!$A$2:$A$142,0)))</f>
        <v>Med</v>
      </c>
      <c r="I88" s="6" t="str">
        <f aca="false">IF(B88="","",INDEX('Rule Matrix'!$J$2:$J$142,MATCH(B88,'Rule Matrix'!$A$2:$A$142,0)))</f>
        <v>Plead limitation</v>
      </c>
      <c r="Z88" s="22" t="str">
        <f aca="false">Applicability!A82</f>
        <v>J-01</v>
      </c>
      <c r="AA88" s="22" t="n">
        <f aca="false">IF($Z$5=0,0,IF(AND(INDEX(Applicability!$E$82:$O$82,1,$Z$5)="Y",OR(Applicability!$D$82="",IFERROR(INDEX($B$4:$F$4,MATCH(Applicability!$D$82,$B$3:$F$3,0)),"N")="Y")),1,0))</f>
        <v>1</v>
      </c>
      <c r="AB88" s="22" t="n">
        <f aca="false">IF(AA88=1,SUM(AA$8:AA88),"")</f>
        <v>73</v>
      </c>
    </row>
    <row r="89" customFormat="false" ht="22.35" hidden="false" customHeight="false" outlineLevel="0" collapsed="false">
      <c r="A89" s="6" t="n">
        <f aca="false">IF(82&gt;$B$5,"",82)</f>
        <v>82</v>
      </c>
      <c r="B89" s="6" t="str">
        <f aca="false">IF(A89="","",INDEX($Z$8:$Z$148,MATCH(A89,$AB$8:$AB$148,0)))</f>
        <v>K-06</v>
      </c>
      <c r="C89" s="6" t="str">
        <f aca="false">IF(B89="","",INDEX('Rule Matrix'!$B$2:$B$142,MATCH(B89,'Rule Matrix'!$A$2:$A$142,0)))</f>
        <v>K. Sec 73 / 74 / 74A Applicability</v>
      </c>
      <c r="D89" s="6" t="str">
        <f aca="false">IF(B89="","",INDEX('Rule Matrix'!$C$2:$C$142,MATCH(B89,'Rule Matrix'!$A$2:$A$142,0)))</f>
        <v>Pre-SCN voluntary payment</v>
      </c>
      <c r="E89" s="6" t="str">
        <f aca="false">IF(B89="","",INDEX('Rule Matrix'!$D$2:$D$142,MATCH(B89,'Rule Matrix'!$A$2:$A$142,0)))</f>
        <v>s.73(5)(6), 74(5)(6), 74A(5)(8)</v>
      </c>
      <c r="F89" s="6" t="str">
        <f aca="false">IF(B89="","",INDEX('Rule Matrix'!$F$2:$F$142,MATCH(B89,'Rule Matrix'!$A$2:$A$142,0)))</f>
        <v>Tax + interest paid before SCN: no SCN; penalty nil (non-fraud) / 15% (fraud)</v>
      </c>
      <c r="G89" s="6" t="str">
        <f aca="false">IF(B89="","",INDEX('Rule Matrix'!$G$2:$G$142,MATCH(B89,'Rule Matrix'!$A$2:$A$142,0)))</f>
        <v>—</v>
      </c>
      <c r="H89" s="6" t="str">
        <f aca="false">IF(B89="","",INDEX('Rule Matrix'!$H$2:$H$142,MATCH(B89,'Rule Matrix'!$A$2:$A$142,0)))</f>
        <v>Med</v>
      </c>
      <c r="I89" s="6" t="str">
        <f aca="false">IF(B89="","",INDEX('Rule Matrix'!$J$2:$J$142,MATCH(B89,'Rule Matrix'!$A$2:$A$142,0)))</f>
        <v>Pay via DRC-03 with interest, intimate</v>
      </c>
      <c r="Z89" s="22" t="str">
        <f aca="false">Applicability!A83</f>
        <v>J-02</v>
      </c>
      <c r="AA89" s="22" t="n">
        <f aca="false">IF($Z$5=0,0,IF(AND(INDEX(Applicability!$E$83:$O$83,1,$Z$5)="Y",OR(Applicability!$D$83="",IFERROR(INDEX($B$4:$F$4,MATCH(Applicability!$D$83,$B$3:$F$3,0)),"N")="Y")),1,0))</f>
        <v>1</v>
      </c>
      <c r="AB89" s="22" t="n">
        <f aca="false">IF(AA89=1,SUM(AA$8:AA89),"")</f>
        <v>74</v>
      </c>
    </row>
    <row r="90" customFormat="false" ht="32.8" hidden="false" customHeight="false" outlineLevel="0" collapsed="false">
      <c r="A90" s="6" t="n">
        <f aca="false">IF(83&gt;$B$5,"",83)</f>
        <v>83</v>
      </c>
      <c r="B90" s="6" t="str">
        <f aca="false">IF(A90="","",INDEX($Z$8:$Z$148,MATCH(A90,$AB$8:$AB$148,0)))</f>
        <v>K-07</v>
      </c>
      <c r="C90" s="6" t="str">
        <f aca="false">IF(B90="","",INDEX('Rule Matrix'!$B$2:$B$142,MATCH(B90,'Rule Matrix'!$A$2:$A$142,0)))</f>
        <v>K. Sec 73 / 74 / 74A Applicability</v>
      </c>
      <c r="D90" s="6" t="str">
        <f aca="false">IF(B90="","",INDEX('Rule Matrix'!$C$2:$C$142,MATCH(B90,'Rule Matrix'!$A$2:$A$142,0)))</f>
        <v>Penalty exposure by payment stage</v>
      </c>
      <c r="E90" s="6" t="str">
        <f aca="false">IF(B90="","",INDEX('Rule Matrix'!$D$2:$D$142,MATCH(B90,'Rule Matrix'!$A$2:$A$142,0)))</f>
        <v>s.73(8)(9)(11), 74(8)(9)(10)(11), 74A(5)(8)(9)</v>
      </c>
      <c r="F90" s="6" t="str">
        <f aca="false">IF(B90="","",INDEX('Rule Matrix'!$F$2:$F$142,MATCH(B90,'Rule Matrix'!$A$2:$A$142,0)))</f>
        <v>Non-fraud: nil if paid within 30 days of SCN (60 for 74A), else 10% or ₹10,000 higher. Fraud: 15% pre-SCN / 25% within 30 (60) days of SCN / 50% within 30 (60) days of order / 100%</v>
      </c>
      <c r="G90" s="6" t="str">
        <f aca="false">IF(B90="","",INDEX('Rule Matrix'!$G$2:$G$142,MATCH(B90,'Rule Matrix'!$A$2:$A$142,0)))</f>
        <v>—</v>
      </c>
      <c r="H90" s="6" t="str">
        <f aca="false">IF(B90="","",INDEX('Rule Matrix'!$H$2:$H$142,MATCH(B90,'Rule Matrix'!$A$2:$A$142,0)))</f>
        <v>High</v>
      </c>
      <c r="I90" s="6" t="str">
        <f aca="false">IF(B90="","",INDEX('Rule Matrix'!$J$2:$J$142,MATCH(B90,'Rule Matrix'!$A$2:$A$142,0)))</f>
        <v>Choose payment timing</v>
      </c>
      <c r="Z90" s="22" t="str">
        <f aca="false">Applicability!A84</f>
        <v>J-03</v>
      </c>
      <c r="AA90" s="22" t="n">
        <f aca="false">IF($Z$5=0,0,IF(AND(INDEX(Applicability!$E$84:$O$84,1,$Z$5)="Y",OR(Applicability!$D$84="",IFERROR(INDEX($B$4:$F$4,MATCH(Applicability!$D$84,$B$3:$F$3,0)),"N")="Y")),1,0))</f>
        <v>1</v>
      </c>
      <c r="AB90" s="22" t="n">
        <f aca="false">IF(AA90=1,SUM(AA$8:AA90),"")</f>
        <v>75</v>
      </c>
    </row>
    <row r="91" customFormat="false" ht="22.35" hidden="false" customHeight="false" outlineLevel="0" collapsed="false">
      <c r="A91" s="6" t="n">
        <f aca="false">IF(84&gt;$B$5,"",84)</f>
        <v>84</v>
      </c>
      <c r="B91" s="6" t="str">
        <f aca="false">IF(A91="","",INDEX($Z$8:$Z$148,MATCH(A91,$AB$8:$AB$148,0)))</f>
        <v>K-08</v>
      </c>
      <c r="C91" s="6" t="str">
        <f aca="false">IF(B91="","",INDEX('Rule Matrix'!$B$2:$B$142,MATCH(B91,'Rule Matrix'!$A$2:$A$142,0)))</f>
        <v>K. Sec 73 / 74 / 74A Applicability</v>
      </c>
      <c r="D91" s="6" t="str">
        <f aca="false">IF(B91="","",INDEX('Rule Matrix'!$C$2:$C$142,MATCH(B91,'Rule Matrix'!$A$2:$A$142,0)))</f>
        <v>s.128A waiver eligibility</v>
      </c>
      <c r="E91" s="6" t="str">
        <f aca="false">IF(B91="","",INDEX('Rule Matrix'!$D$2:$D$142,MATCH(B91,'Rule Matrix'!$A$2:$A$142,0)))</f>
        <v>s.128A, Rule 164</v>
      </c>
      <c r="F91" s="6" t="str">
        <f aca="false">IF(B91="","",INDEX('Rule Matrix'!$F$2:$F$142,MATCH(B91,'Rule Matrix'!$A$2:$A$142,0)))</f>
        <v>Interest &amp; penalty waived if full tax paid by 31.03.2025; not for erroneous refunds</v>
      </c>
      <c r="G91" s="6" t="str">
        <f aca="false">IF(B91="","",INDEX('Rule Matrix'!$G$2:$G$142,MATCH(B91,'Rule Matrix'!$A$2:$A$142,0)))</f>
        <v>Eligible cases</v>
      </c>
      <c r="H91" s="6" t="str">
        <f aca="false">IF(B91="","",INDEX('Rule Matrix'!$H$2:$H$142,MATCH(B91,'Rule Matrix'!$A$2:$A$142,0)))</f>
        <v>Med</v>
      </c>
      <c r="I91" s="6" t="str">
        <f aca="false">IF(B91="","",INDEX('Rule Matrix'!$J$2:$J$142,MATCH(B91,'Rule Matrix'!$A$2:$A$142,0)))</f>
        <v>Check application (SPL-01/02) status</v>
      </c>
      <c r="Z91" s="22" t="str">
        <f aca="false">Applicability!A85</f>
        <v>J-04</v>
      </c>
      <c r="AA91" s="22" t="n">
        <f aca="false">IF($Z$5=0,0,IF(AND(INDEX(Applicability!$E$85:$O$85,1,$Z$5)="Y",OR(Applicability!$D$85="",IFERROR(INDEX($B$4:$F$4,MATCH(Applicability!$D$85,$B$3:$F$3,0)),"N")="Y")),1,0))</f>
        <v>1</v>
      </c>
      <c r="AB91" s="22" t="n">
        <f aca="false">IF(AA91=1,SUM(AA$8:AA91),"")</f>
        <v>76</v>
      </c>
    </row>
    <row r="92" customFormat="false" ht="22.35" hidden="false" customHeight="false" outlineLevel="0" collapsed="false">
      <c r="A92" s="6" t="n">
        <f aca="false">IF(85&gt;$B$5,"",85)</f>
        <v>85</v>
      </c>
      <c r="B92" s="6" t="str">
        <f aca="false">IF(A92="","",INDEX($Z$8:$Z$148,MATCH(A92,$AB$8:$AB$148,0)))</f>
        <v>K-09</v>
      </c>
      <c r="C92" s="6" t="str">
        <f aca="false">IF(B92="","",INDEX('Rule Matrix'!$B$2:$B$142,MATCH(B92,'Rule Matrix'!$A$2:$A$142,0)))</f>
        <v>K. Sec 73 / 74 / 74A Applicability</v>
      </c>
      <c r="D92" s="6" t="str">
        <f aca="false">IF(B92="","",INDEX('Rule Matrix'!$C$2:$C$142,MATCH(B92,'Rule Matrix'!$A$2:$A$142,0)))</f>
        <v>Fraud not established</v>
      </c>
      <c r="E92" s="6" t="str">
        <f aca="false">IF(B92="","",INDEX('Rule Matrix'!$D$2:$D$142,MATCH(B92,'Rule Matrix'!$A$2:$A$142,0)))</f>
        <v>s.75(2)</v>
      </c>
      <c r="F92" s="6" t="str">
        <f aca="false">IF(B92="","",INDEX('Rule Matrix'!$F$2:$F$142,MATCH(B92,'Rule Matrix'!$A$2:$A$142,0)))</f>
        <v>If fraud limb fails before appellate authority, re-determine as non-fraud within non-fraud limitation</v>
      </c>
      <c r="G92" s="6" t="str">
        <f aca="false">IF(B92="","",INDEX('Rule Matrix'!$G$2:$G$142,MATCH(B92,'Rule Matrix'!$A$2:$A$142,0)))</f>
        <v>—</v>
      </c>
      <c r="H92" s="6" t="str">
        <f aca="false">IF(B92="","",INDEX('Rule Matrix'!$H$2:$H$142,MATCH(B92,'Rule Matrix'!$A$2:$A$142,0)))</f>
        <v>Med</v>
      </c>
      <c r="I92" s="6" t="str">
        <f aca="false">IF(B92="","",INDEX('Rule Matrix'!$J$2:$J$142,MATCH(B92,'Rule Matrix'!$A$2:$A$142,0)))</f>
        <v>Plead s.75(2)</v>
      </c>
      <c r="Z92" s="22" t="str">
        <f aca="false">Applicability!A86</f>
        <v>K-01</v>
      </c>
      <c r="AA92" s="22" t="n">
        <f aca="false">IF($Z$5=0,0,IF(AND(INDEX(Applicability!$E$86:$O$86,1,$Z$5)="Y",OR(Applicability!$D$86="",IFERROR(INDEX($B$4:$F$4,MATCH(Applicability!$D$86,$B$3:$F$3,0)),"N")="Y")),1,0))</f>
        <v>1</v>
      </c>
      <c r="AB92" s="22" t="n">
        <f aca="false">IF(AA92=1,SUM(AA$8:AA92),"")</f>
        <v>77</v>
      </c>
    </row>
    <row r="93" customFormat="false" ht="22.35" hidden="false" customHeight="false" outlineLevel="0" collapsed="false">
      <c r="A93" s="6" t="n">
        <f aca="false">IF(86&gt;$B$5,"",86)</f>
        <v>86</v>
      </c>
      <c r="B93" s="6" t="str">
        <f aca="false">IF(A93="","",INDEX($Z$8:$Z$148,MATCH(A93,$AB$8:$AB$148,0)))</f>
        <v>K-10</v>
      </c>
      <c r="C93" s="6" t="str">
        <f aca="false">IF(B93="","",INDEX('Rule Matrix'!$B$2:$B$142,MATCH(B93,'Rule Matrix'!$A$2:$A$142,0)))</f>
        <v>K. Sec 73 / 74 / 74A Applicability</v>
      </c>
      <c r="D93" s="6" t="str">
        <f aca="false">IF(B93="","",INDEX('Rule Matrix'!$C$2:$C$142,MATCH(B93,'Rule Matrix'!$A$2:$A$142,0)))</f>
        <v>Erroneous refunds</v>
      </c>
      <c r="E93" s="6" t="str">
        <f aca="false">IF(B93="","",INDEX('Rule Matrix'!$D$2:$D$142,MATCH(B93,'Rule Matrix'!$A$2:$A$142,0)))</f>
        <v>s.73(10), 74(10), 74A(2)</v>
      </c>
      <c r="F93" s="6" t="str">
        <f aca="false">IF(B93="","",INDEX('Rule Matrix'!$F$2:$F$142,MATCH(B93,'Rule Matrix'!$A$2:$A$142,0)))</f>
        <v>Limitation from date of refund order, not annual return</v>
      </c>
      <c r="G93" s="6" t="str">
        <f aca="false">IF(B93="","",INDEX('Rule Matrix'!$G$2:$G$142,MATCH(B93,'Rule Matrix'!$A$2:$A$142,0)))</f>
        <v>—</v>
      </c>
      <c r="H93" s="6" t="str">
        <f aca="false">IF(B93="","",INDEX('Rule Matrix'!$H$2:$H$142,MATCH(B93,'Rule Matrix'!$A$2:$A$142,0)))</f>
        <v>Med</v>
      </c>
      <c r="I93" s="6" t="str">
        <f aca="false">IF(B93="","",INDEX('Rule Matrix'!$J$2:$J$142,MATCH(B93,'Rule Matrix'!$A$2:$A$142,0)))</f>
        <v>Compute separately</v>
      </c>
      <c r="Z93" s="22" t="str">
        <f aca="false">Applicability!A87</f>
        <v>K-02</v>
      </c>
      <c r="AA93" s="22" t="n">
        <f aca="false">IF($Z$5=0,0,IF(AND(INDEX(Applicability!$E$87:$O$87,1,$Z$5)="Y",OR(Applicability!$D$87="",IFERROR(INDEX($B$4:$F$4,MATCH(Applicability!$D$87,$B$3:$F$3,0)),"N")="Y")),1,0))</f>
        <v>1</v>
      </c>
      <c r="AB93" s="22" t="n">
        <f aca="false">IF(AA93=1,SUM(AA$8:AA93),"")</f>
        <v>78</v>
      </c>
    </row>
    <row r="94" customFormat="false" ht="22.35" hidden="false" customHeight="false" outlineLevel="0" collapsed="false">
      <c r="A94" s="6" t="n">
        <f aca="false">IF(87&gt;$B$5,"",87)</f>
        <v>87</v>
      </c>
      <c r="B94" s="6" t="str">
        <f aca="false">IF(A94="","",INDEX($Z$8:$Z$148,MATCH(A94,$AB$8:$AB$148,0)))</f>
        <v>K-11</v>
      </c>
      <c r="C94" s="6" t="str">
        <f aca="false">IF(B94="","",INDEX('Rule Matrix'!$B$2:$B$142,MATCH(B94,'Rule Matrix'!$A$2:$A$142,0)))</f>
        <v>K. Sec 73 / 74 / 74A Applicability</v>
      </c>
      <c r="D94" s="6" t="str">
        <f aca="false">IF(B94="","",INDEX('Rule Matrix'!$C$2:$C$142,MATCH(B94,'Rule Matrix'!$A$2:$A$142,0)))</f>
        <v>Recurring issues – statement route</v>
      </c>
      <c r="E94" s="6" t="str">
        <f aca="false">IF(B94="","",INDEX('Rule Matrix'!$D$2:$D$142,MATCH(B94,'Rule Matrix'!$A$2:$A$142,0)))</f>
        <v>s.73(3), 74(3), 74A(3)</v>
      </c>
      <c r="F94" s="6" t="str">
        <f aca="false">IF(B94="","",INDEX('Rule Matrix'!$F$2:$F$142,MATCH(B94,'Rule Matrix'!$A$2:$A$142,0)))</f>
        <v>Same grounds for later periods via statement (DRC-02) – no fresh SCN needed</v>
      </c>
      <c r="G94" s="6" t="str">
        <f aca="false">IF(B94="","",INDEX('Rule Matrix'!$G$2:$G$142,MATCH(B94,'Rule Matrix'!$A$2:$A$142,0)))</f>
        <v>Repeat issue</v>
      </c>
      <c r="H94" s="6" t="str">
        <f aca="false">IF(B94="","",INDEX('Rule Matrix'!$H$2:$H$142,MATCH(B94,'Rule Matrix'!$A$2:$A$142,0)))</f>
        <v>Low</v>
      </c>
      <c r="I94" s="6" t="str">
        <f aca="false">IF(B94="","",INDEX('Rule Matrix'!$J$2:$J$142,MATCH(B94,'Rule Matrix'!$A$2:$A$142,0)))</f>
        <v>Track across periods</v>
      </c>
      <c r="Z94" s="22" t="str">
        <f aca="false">Applicability!A88</f>
        <v>K-03</v>
      </c>
      <c r="AA94" s="22" t="n">
        <f aca="false">IF($Z$5=0,0,IF(AND(INDEX(Applicability!$E$88:$O$88,1,$Z$5)="Y",OR(Applicability!$D$88="",IFERROR(INDEX($B$4:$F$4,MATCH(Applicability!$D$88,$B$3:$F$3,0)),"N")="Y")),1,0))</f>
        <v>1</v>
      </c>
      <c r="AB94" s="22" t="n">
        <f aca="false">IF(AA94=1,SUM(AA$8:AA94),"")</f>
        <v>79</v>
      </c>
    </row>
    <row r="95" customFormat="false" ht="32.8" hidden="false" customHeight="false" outlineLevel="0" collapsed="false">
      <c r="A95" s="6" t="n">
        <f aca="false">IF(88&gt;$B$5,"",88)</f>
        <v>88</v>
      </c>
      <c r="B95" s="6" t="str">
        <f aca="false">IF(A95="","",INDEX($Z$8:$Z$148,MATCH(A95,$AB$8:$AB$148,0)))</f>
        <v>L-01</v>
      </c>
      <c r="C95" s="6" t="str">
        <f aca="false">IF(B95="","",INDEX('Rule Matrix'!$B$2:$B$142,MATCH(B95,'Rule Matrix'!$A$2:$A$142,0)))</f>
        <v>L. Industry-Specific</v>
      </c>
      <c r="D95" s="6" t="str">
        <f aca="false">IF(B95="","",INDEX('Rule Matrix'!$C$2:$C$142,MATCH(B95,'Rule Matrix'!$A$2:$A$142,0)))</f>
        <v>Residential project rate &amp; ITC bar</v>
      </c>
      <c r="E95" s="6" t="str">
        <f aca="false">IF(B95="","",INDEX('Rule Matrix'!$D$2:$D$142,MATCH(B95,'Rule Matrix'!$A$2:$A$142,0)))</f>
        <v>Notfn 11/2017-CTR entries (i),(ia)-(if) as amended by 3/2019</v>
      </c>
      <c r="F95" s="6" t="str">
        <f aca="false">IF(B95="","",INDEX('Rule Matrix'!$F$2:$F$142,MATCH(B95,'Rule Matrix'!$A$2:$A$142,0)))</f>
        <v>Residential RREP/non-RREP at concessional rate without ITC; no ITC claimed on such projects; ongoing-project option exercised</v>
      </c>
      <c r="G95" s="6" t="str">
        <f aca="false">IF(B95="","",INDEX('Rule Matrix'!$G$2:$G$142,MATCH(B95,'Rule Matrix'!$A$2:$A$142,0)))</f>
        <v>Any ITC</v>
      </c>
      <c r="H95" s="6" t="str">
        <f aca="false">IF(B95="","",INDEX('Rule Matrix'!$H$2:$H$142,MATCH(B95,'Rule Matrix'!$A$2:$A$142,0)))</f>
        <v>High</v>
      </c>
      <c r="I95" s="6" t="str">
        <f aca="false">IF(B95="","",INDEX('Rule Matrix'!$J$2:$J$142,MATCH(B95,'Rule Matrix'!$A$2:$A$142,0)))</f>
        <v>Reverse ITC</v>
      </c>
      <c r="Z95" s="22" t="str">
        <f aca="false">Applicability!A89</f>
        <v>K-04</v>
      </c>
      <c r="AA95" s="22" t="n">
        <f aca="false">IF($Z$5=0,0,IF(AND(INDEX(Applicability!$E$89:$O$89,1,$Z$5)="Y",OR(Applicability!$D$89="",IFERROR(INDEX($B$4:$F$4,MATCH(Applicability!$D$89,$B$3:$F$3,0)),"N")="Y")),1,0))</f>
        <v>1</v>
      </c>
      <c r="AB95" s="22" t="n">
        <f aca="false">IF(AA95=1,SUM(AA$8:AA95),"")</f>
        <v>80</v>
      </c>
    </row>
    <row r="96" customFormat="false" ht="43.25" hidden="false" customHeight="false" outlineLevel="0" collapsed="false">
      <c r="A96" s="6" t="n">
        <f aca="false">IF(89&gt;$B$5,"",89)</f>
        <v>89</v>
      </c>
      <c r="B96" s="6" t="str">
        <f aca="false">IF(A96="","",INDEX($Z$8:$Z$148,MATCH(A96,$AB$8:$AB$148,0)))</f>
        <v>L-02</v>
      </c>
      <c r="C96" s="6" t="str">
        <f aca="false">IF(B96="","",INDEX('Rule Matrix'!$B$2:$B$142,MATCH(B96,'Rule Matrix'!$A$2:$A$142,0)))</f>
        <v>L. Industry-Specific</v>
      </c>
      <c r="D96" s="6" t="str">
        <f aca="false">IF(B96="","",INDEX('Rule Matrix'!$C$2:$C$142,MATCH(B96,'Rule Matrix'!$A$2:$A$142,0)))</f>
        <v>80% procurement from registered persons</v>
      </c>
      <c r="E96" s="6" t="str">
        <f aca="false">IF(B96="","",INDEX('Rule Matrix'!$D$2:$D$142,MATCH(B96,'Rule Matrix'!$A$2:$A$142,0)))</f>
        <v>Notfn 3/2019, 7/2019-CTR</v>
      </c>
      <c r="F96" s="6" t="str">
        <f aca="false">IF(B96="","",INDEX('Rule Matrix'!$F$2:$F$142,MATCH(B96,'Rule Matrix'!$A$2:$A$142,0)))</f>
        <v>Inputs/input services from registered ≥ 80% (project-wise, FY-wise); shortfall RCM @18%; cement from URP always RCM at applicable rate (18% w.e.f. 22.09.2025, earlier 28%); capital goods from URP at applicable rate</v>
      </c>
      <c r="G96" s="6" t="str">
        <f aca="false">IF(B96="","",INDEX('Rule Matrix'!$G$2:$G$142,MATCH(B96,'Rule Matrix'!$A$2:$A$142,0)))</f>
        <v>Shortfall</v>
      </c>
      <c r="H96" s="6" t="str">
        <f aca="false">IF(B96="","",INDEX('Rule Matrix'!$H$2:$H$142,MATCH(B96,'Rule Matrix'!$A$2:$A$142,0)))</f>
        <v>High</v>
      </c>
      <c r="I96" s="6" t="str">
        <f aca="false">IF(B96="","",INDEX('Rule Matrix'!$J$2:$J$142,MATCH(B96,'Rule Matrix'!$A$2:$A$142,0)))</f>
        <v>Pay RCM via DRC-03/3B</v>
      </c>
      <c r="Z96" s="22" t="str">
        <f aca="false">Applicability!A90</f>
        <v>K-05</v>
      </c>
      <c r="AA96" s="22" t="n">
        <f aca="false">IF($Z$5=0,0,IF(AND(INDEX(Applicability!$E$90:$O$90,1,$Z$5)="Y",OR(Applicability!$D$90="",IFERROR(INDEX($B$4:$F$4,MATCH(Applicability!$D$90,$B$3:$F$3,0)),"N")="Y")),1,0))</f>
        <v>1</v>
      </c>
      <c r="AB96" s="22" t="n">
        <f aca="false">IF(AA96=1,SUM(AA$8:AA96),"")</f>
        <v>81</v>
      </c>
    </row>
    <row r="97" customFormat="false" ht="22.35" hidden="false" customHeight="false" outlineLevel="0" collapsed="false">
      <c r="A97" s="6" t="n">
        <f aca="false">IF(90&gt;$B$5,"",90)</f>
        <v>90</v>
      </c>
      <c r="B97" s="6" t="str">
        <f aca="false">IF(A97="","",INDEX($Z$8:$Z$148,MATCH(A97,$AB$8:$AB$148,0)))</f>
        <v>L-03</v>
      </c>
      <c r="C97" s="6" t="str">
        <f aca="false">IF(B97="","",INDEX('Rule Matrix'!$B$2:$B$142,MATCH(B97,'Rule Matrix'!$A$2:$A$142,0)))</f>
        <v>L. Industry-Specific</v>
      </c>
      <c r="D97" s="6" t="str">
        <f aca="false">IF(B97="","",INDEX('Rule Matrix'!$C$2:$C$142,MATCH(B97,'Rule Matrix'!$A$2:$A$142,0)))</f>
        <v>Land value deduction</v>
      </c>
      <c r="E97" s="6" t="str">
        <f aca="false">IF(B97="","",INDEX('Rule Matrix'!$D$2:$D$142,MATCH(B97,'Rule Matrix'!$A$2:$A$142,0)))</f>
        <v>Notfn 11/2017-CTR para 2</v>
      </c>
      <c r="F97" s="6" t="str">
        <f aca="false">IF(B97="","",INDEX('Rule Matrix'!$F$2:$F$142,MATCH(B97,'Rule Matrix'!$A$2:$A$142,0)))</f>
        <v>Deemed land value 1/3 of total consideration deducted; no other land deduction</v>
      </c>
      <c r="G97" s="6" t="str">
        <f aca="false">IF(B97="","",INDEX('Rule Matrix'!$G$2:$G$142,MATCH(B97,'Rule Matrix'!$A$2:$A$142,0)))</f>
        <v>Deviation</v>
      </c>
      <c r="H97" s="6" t="str">
        <f aca="false">IF(B97="","",INDEX('Rule Matrix'!$H$2:$H$142,MATCH(B97,'Rule Matrix'!$A$2:$A$142,0)))</f>
        <v>Med</v>
      </c>
      <c r="I97" s="6" t="str">
        <f aca="false">IF(B97="","",INDEX('Rule Matrix'!$J$2:$J$142,MATCH(B97,'Rule Matrix'!$A$2:$A$142,0)))</f>
        <v>Correct valuation</v>
      </c>
      <c r="Z97" s="22" t="str">
        <f aca="false">Applicability!A91</f>
        <v>K-06</v>
      </c>
      <c r="AA97" s="22" t="n">
        <f aca="false">IF($Z$5=0,0,IF(AND(INDEX(Applicability!$E$91:$O$91,1,$Z$5)="Y",OR(Applicability!$D$91="",IFERROR(INDEX($B$4:$F$4,MATCH(Applicability!$D$91,$B$3:$F$3,0)),"N")="Y")),1,0))</f>
        <v>1</v>
      </c>
      <c r="AB97" s="22" t="n">
        <f aca="false">IF(AA97=1,SUM(AA$8:AA97),"")</f>
        <v>82</v>
      </c>
    </row>
    <row r="98" customFormat="false" ht="22.35" hidden="false" customHeight="false" outlineLevel="0" collapsed="false">
      <c r="A98" s="6" t="n">
        <f aca="false">IF(91&gt;$B$5,"",91)</f>
        <v>91</v>
      </c>
      <c r="B98" s="6" t="str">
        <f aca="false">IF(A98="","",INDEX($Z$8:$Z$148,MATCH(A98,$AB$8:$AB$148,0)))</f>
        <v>L-04</v>
      </c>
      <c r="C98" s="6" t="str">
        <f aca="false">IF(B98="","",INDEX('Rule Matrix'!$B$2:$B$142,MATCH(B98,'Rule Matrix'!$A$2:$A$142,0)))</f>
        <v>L. Industry-Specific</v>
      </c>
      <c r="D98" s="6" t="str">
        <f aca="false">IF(B98="","",INDEX('Rule Matrix'!$C$2:$C$142,MATCH(B98,'Rule Matrix'!$A$2:$A$142,0)))</f>
        <v>TDR / FSI / long-term lease premium</v>
      </c>
      <c r="E98" s="6" t="str">
        <f aca="false">IF(B98="","",INDEX('Rule Matrix'!$D$2:$D$142,MATCH(B98,'Rule Matrix'!$A$2:$A$142,0)))</f>
        <v>Notfn 4/2019, 5/2019-CTR, 13/2017-CTR</v>
      </c>
      <c r="F98" s="6" t="str">
        <f aca="false">IF(B98="","",INDEX('Rule Matrix'!$F$2:$F$142,MATCH(B98,'Rule Matrix'!$A$2:$A$142,0)))</f>
        <v>RCM on TDR/FSI/upfront lease premium; exemption proportion for residential units sold before CC; tax on unsold area at CC</v>
      </c>
      <c r="G98" s="6" t="str">
        <f aca="false">IF(B98="","",INDEX('Rule Matrix'!$G$2:$G$142,MATCH(B98,'Rule Matrix'!$A$2:$A$142,0)))</f>
        <v>Any</v>
      </c>
      <c r="H98" s="6" t="str">
        <f aca="false">IF(B98="","",INDEX('Rule Matrix'!$H$2:$H$142,MATCH(B98,'Rule Matrix'!$A$2:$A$142,0)))</f>
        <v>High</v>
      </c>
      <c r="I98" s="6" t="str">
        <f aca="false">IF(B98="","",INDEX('Rule Matrix'!$J$2:$J$142,MATCH(B98,'Rule Matrix'!$A$2:$A$142,0)))</f>
        <v>Pay RCM on due time of supply</v>
      </c>
      <c r="Z98" s="22" t="str">
        <f aca="false">Applicability!A92</f>
        <v>K-07</v>
      </c>
      <c r="AA98" s="22" t="n">
        <f aca="false">IF($Z$5=0,0,IF(AND(INDEX(Applicability!$E$92:$O$92,1,$Z$5)="Y",OR(Applicability!$D$92="",IFERROR(INDEX($B$4:$F$4,MATCH(Applicability!$D$92,$B$3:$F$3,0)),"N")="Y")),1,0))</f>
        <v>1</v>
      </c>
      <c r="AB98" s="22" t="n">
        <f aca="false">IF(AA98=1,SUM(AA$8:AA98),"")</f>
        <v>83</v>
      </c>
    </row>
    <row r="99" customFormat="false" ht="22.35" hidden="false" customHeight="false" outlineLevel="0" collapsed="false">
      <c r="A99" s="6" t="n">
        <f aca="false">IF(92&gt;$B$5,"",92)</f>
        <v>92</v>
      </c>
      <c r="B99" s="6" t="str">
        <f aca="false">IF(A99="","",INDEX($Z$8:$Z$148,MATCH(A99,$AB$8:$AB$148,0)))</f>
        <v>L-05</v>
      </c>
      <c r="C99" s="6" t="str">
        <f aca="false">IF(B99="","",INDEX('Rule Matrix'!$B$2:$B$142,MATCH(B99,'Rule Matrix'!$A$2:$A$142,0)))</f>
        <v>L. Industry-Specific</v>
      </c>
      <c r="D99" s="6" t="str">
        <f aca="false">IF(B99="","",INDEX('Rule Matrix'!$C$2:$C$142,MATCH(B99,'Rule Matrix'!$A$2:$A$142,0)))</f>
        <v>Completion certificate &amp; unsold units</v>
      </c>
      <c r="E99" s="6" t="str">
        <f aca="false">IF(B99="","",INDEX('Rule Matrix'!$D$2:$D$142,MATCH(B99,'Rule Matrix'!$A$2:$A$142,0)))</f>
        <v>Sch III para 5(b), Rule 42/43 (Annexure for RE)</v>
      </c>
      <c r="F99" s="6" t="str">
        <f aca="false">IF(B99="","",INDEX('Rule Matrix'!$F$2:$F$142,MATCH(B99,'Rule Matrix'!$A$2:$A$142,0)))</f>
        <v>Sales after CC not a supply; common ITC reversal for area unsold on CC</v>
      </c>
      <c r="G99" s="6" t="str">
        <f aca="false">IF(B99="","",INDEX('Rule Matrix'!$G$2:$G$142,MATCH(B99,'Rule Matrix'!$A$2:$A$142,0)))</f>
        <v>Any</v>
      </c>
      <c r="H99" s="6" t="str">
        <f aca="false">IF(B99="","",INDEX('Rule Matrix'!$H$2:$H$142,MATCH(B99,'Rule Matrix'!$A$2:$A$142,0)))</f>
        <v>High</v>
      </c>
      <c r="I99" s="6" t="str">
        <f aca="false">IF(B99="","",INDEX('Rule Matrix'!$J$2:$J$142,MATCH(B99,'Rule Matrix'!$A$2:$A$142,0)))</f>
        <v>Reverse ITC</v>
      </c>
      <c r="Z99" s="22" t="str">
        <f aca="false">Applicability!A93</f>
        <v>K-08</v>
      </c>
      <c r="AA99" s="22" t="n">
        <f aca="false">IF($Z$5=0,0,IF(AND(INDEX(Applicability!$E$93:$O$93,1,$Z$5)="Y",OR(Applicability!$D$93="",IFERROR(INDEX($B$4:$F$4,MATCH(Applicability!$D$93,$B$3:$F$3,0)),"N")="Y")),1,0))</f>
        <v>1</v>
      </c>
      <c r="AB99" s="22" t="n">
        <f aca="false">IF(AA99=1,SUM(AA$8:AA99),"")</f>
        <v>84</v>
      </c>
    </row>
    <row r="100" customFormat="false" ht="22.35" hidden="false" customHeight="false" outlineLevel="0" collapsed="false">
      <c r="A100" s="6" t="n">
        <f aca="false">IF(93&gt;$B$5,"",93)</f>
        <v>93</v>
      </c>
      <c r="B100" s="6" t="str">
        <f aca="false">IF(A100="","",INDEX($Z$8:$Z$148,MATCH(A100,$AB$8:$AB$148,0)))</f>
        <v>L-06</v>
      </c>
      <c r="C100" s="6" t="str">
        <f aca="false">IF(B100="","",INDEX('Rule Matrix'!$B$2:$B$142,MATCH(B100,'Rule Matrix'!$A$2:$A$142,0)))</f>
        <v>L. Industry-Specific</v>
      </c>
      <c r="D100" s="6" t="str">
        <f aca="false">IF(B100="","",INDEX('Rule Matrix'!$C$2:$C$142,MATCH(B100,'Rule Matrix'!$A$2:$A$142,0)))</f>
        <v>Joint development – landowner share</v>
      </c>
      <c r="E100" s="6" t="str">
        <f aca="false">IF(B100="","",INDEX('Rule Matrix'!$D$2:$D$142,MATCH(B100,'Rule Matrix'!$A$2:$A$142,0)))</f>
        <v>Notfn 11/2017, 4/2019-CTR; s.15</v>
      </c>
      <c r="F100" s="6" t="str">
        <f aca="false">IF(B100="","",INDEX('Rule Matrix'!$F$2:$F$142,MATCH(B100,'Rule Matrix'!$A$2:$A$142,0)))</f>
        <v>Construction service to landowner valued at similar flat price; landowner TDR/development rights RCM</v>
      </c>
      <c r="G100" s="6" t="str">
        <f aca="false">IF(B100="","",INDEX('Rule Matrix'!$G$2:$G$142,MATCH(B100,'Rule Matrix'!$A$2:$A$142,0)))</f>
        <v>Any</v>
      </c>
      <c r="H100" s="6" t="str">
        <f aca="false">IF(B100="","",INDEX('Rule Matrix'!$H$2:$H$142,MATCH(B100,'Rule Matrix'!$A$2:$A$142,0)))</f>
        <v>High</v>
      </c>
      <c r="I100" s="6" t="str">
        <f aca="false">IF(B100="","",INDEX('Rule Matrix'!$J$2:$J$142,MATCH(B100,'Rule Matrix'!$A$2:$A$142,0)))</f>
        <v>Pay tax</v>
      </c>
      <c r="Z100" s="22" t="str">
        <f aca="false">Applicability!A94</f>
        <v>K-09</v>
      </c>
      <c r="AA100" s="22" t="n">
        <f aca="false">IF($Z$5=0,0,IF(AND(INDEX(Applicability!$E$94:$O$94,1,$Z$5)="Y",OR(Applicability!$D$94="",IFERROR(INDEX($B$4:$F$4,MATCH(Applicability!$D$94,$B$3:$F$3,0)),"N")="Y")),1,0))</f>
        <v>1</v>
      </c>
      <c r="AB100" s="22" t="n">
        <f aca="false">IF(AA100=1,SUM(AA$8:AA100),"")</f>
        <v>85</v>
      </c>
    </row>
    <row r="101" customFormat="false" ht="15" hidden="false" customHeight="false" outlineLevel="0" collapsed="false">
      <c r="A101" s="6" t="n">
        <f aca="false">IF(94&gt;$B$5,"",94)</f>
        <v>94</v>
      </c>
      <c r="B101" s="6" t="str">
        <f aca="false">IF(A101="","",INDEX($Z$8:$Z$148,MATCH(A101,$AB$8:$AB$148,0)))</f>
        <v>L-07</v>
      </c>
      <c r="C101" s="6" t="str">
        <f aca="false">IF(B101="","",INDEX('Rule Matrix'!$B$2:$B$142,MATCH(B101,'Rule Matrix'!$A$2:$A$142,0)))</f>
        <v>L. Industry-Specific</v>
      </c>
      <c r="D101" s="6" t="str">
        <f aca="false">IF(B101="","",INDEX('Rule Matrix'!$C$2:$C$142,MATCH(B101,'Rule Matrix'!$A$2:$A$142,0)))</f>
        <v>Booking cancellations</v>
      </c>
      <c r="E101" s="6" t="str">
        <f aca="false">IF(B101="","",INDEX('Rule Matrix'!$D$2:$D$142,MATCH(B101,'Rule Matrix'!$A$2:$A$142,0)))</f>
        <v>s.34</v>
      </c>
      <c r="F101" s="6" t="str">
        <f aca="false">IF(B101="","",INDEX('Rule Matrix'!$F$2:$F$142,MATCH(B101,'Rule Matrix'!$A$2:$A$142,0)))</f>
        <v>CN within s.34 time limit; linked to original demand invoice</v>
      </c>
      <c r="G101" s="6" t="str">
        <f aca="false">IF(B101="","",INDEX('Rule Matrix'!$G$2:$G$142,MATCH(B101,'Rule Matrix'!$A$2:$A$142,0)))</f>
        <v>Late CN</v>
      </c>
      <c r="H101" s="6" t="str">
        <f aca="false">IF(B101="","",INDEX('Rule Matrix'!$H$2:$H$142,MATCH(B101,'Rule Matrix'!$A$2:$A$142,0)))</f>
        <v>Med</v>
      </c>
      <c r="I101" s="6" t="str">
        <f aca="false">IF(B101="","",INDEX('Rule Matrix'!$J$2:$J$142,MATCH(B101,'Rule Matrix'!$A$2:$A$142,0)))</f>
        <v>Issue CN within limit</v>
      </c>
      <c r="Z101" s="22" t="str">
        <f aca="false">Applicability!A95</f>
        <v>K-10</v>
      </c>
      <c r="AA101" s="22" t="n">
        <f aca="false">IF($Z$5=0,0,IF(AND(INDEX(Applicability!$E$95:$O$95,1,$Z$5)="Y",OR(Applicability!$D$95="",IFERROR(INDEX($B$4:$F$4,MATCH(Applicability!$D$95,$B$3:$F$3,0)),"N")="Y")),1,0))</f>
        <v>1</v>
      </c>
      <c r="AB101" s="22" t="n">
        <f aca="false">IF(AA101=1,SUM(AA$8:AA101),"")</f>
        <v>86</v>
      </c>
    </row>
    <row r="102" customFormat="false" ht="22.35" hidden="false" customHeight="false" outlineLevel="0" collapsed="false">
      <c r="A102" s="6" t="n">
        <f aca="false">IF(95&gt;$B$5,"",95)</f>
        <v>95</v>
      </c>
      <c r="B102" s="6" t="str">
        <f aca="false">IF(A102="","",INDEX($Z$8:$Z$148,MATCH(A102,$AB$8:$AB$148,0)))</f>
        <v>L-08</v>
      </c>
      <c r="C102" s="6" t="str">
        <f aca="false">IF(B102="","",INDEX('Rule Matrix'!$B$2:$B$142,MATCH(B102,'Rule Matrix'!$A$2:$A$142,0)))</f>
        <v>L. Industry-Specific</v>
      </c>
      <c r="D102" s="6" t="str">
        <f aca="false">IF(B102="","",INDEX('Rule Matrix'!$C$2:$C$142,MATCH(B102,'Rule Matrix'!$A$2:$A$142,0)))</f>
        <v>Commercial units / mixed projects</v>
      </c>
      <c r="E102" s="6" t="str">
        <f aca="false">IF(B102="","",INDEX('Rule Matrix'!$D$2:$D$142,MATCH(B102,'Rule Matrix'!$A$2:$A$142,0)))</f>
        <v>Notfn 11/2017-CTR</v>
      </c>
      <c r="F102" s="6" t="str">
        <f aca="false">IF(B102="","",INDEX('Rule Matrix'!$F$2:$F$142,MATCH(B102,'Rule Matrix'!$A$2:$A$142,0)))</f>
        <v>Rate &amp; ITC per current notification for commercial portion; common ITC apportioned by carpet area</v>
      </c>
      <c r="G102" s="6" t="str">
        <f aca="false">IF(B102="","",INDEX('Rule Matrix'!$G$2:$G$142,MATCH(B102,'Rule Matrix'!$A$2:$A$142,0)))</f>
        <v>Deviation</v>
      </c>
      <c r="H102" s="6" t="str">
        <f aca="false">IF(B102="","",INDEX('Rule Matrix'!$H$2:$H$142,MATCH(B102,'Rule Matrix'!$A$2:$A$142,0)))</f>
        <v>Med</v>
      </c>
      <c r="I102" s="6" t="str">
        <f aca="false">IF(B102="","",INDEX('Rule Matrix'!$J$2:$J$142,MATCH(B102,'Rule Matrix'!$A$2:$A$142,0)))</f>
        <v>Re-apportion</v>
      </c>
      <c r="Z102" s="22" t="str">
        <f aca="false">Applicability!A96</f>
        <v>K-11</v>
      </c>
      <c r="AA102" s="22" t="n">
        <f aca="false">IF($Z$5=0,0,IF(AND(INDEX(Applicability!$E$96:$O$96,1,$Z$5)="Y",OR(Applicability!$D$96="",IFERROR(INDEX($B$4:$F$4,MATCH(Applicability!$D$96,$B$3:$F$3,0)),"N")="Y")),1,0))</f>
        <v>1</v>
      </c>
      <c r="AB102" s="22" t="n">
        <f aca="false">IF(AA102=1,SUM(AA$8:AA102),"")</f>
        <v>87</v>
      </c>
    </row>
    <row r="103" customFormat="false" ht="15" hidden="false" customHeight="false" outlineLevel="0" collapsed="false">
      <c r="A103" s="6" t="n">
        <f aca="false">IF(96&gt;$B$5,"",96)</f>
        <v>96</v>
      </c>
      <c r="B103" s="6" t="str">
        <f aca="false">IF(A103="","",INDEX($Z$8:$Z$148,MATCH(A103,$AB$8:$AB$148,0)))</f>
        <v>L-09</v>
      </c>
      <c r="C103" s="6" t="str">
        <f aca="false">IF(B103="","",INDEX('Rule Matrix'!$B$2:$B$142,MATCH(B103,'Rule Matrix'!$A$2:$A$142,0)))</f>
        <v>L. Industry-Specific</v>
      </c>
      <c r="D103" s="6" t="str">
        <f aca="false">IF(B103="","",INDEX('Rule Matrix'!$C$2:$C$142,MATCH(B103,'Rule Matrix'!$A$2:$A$142,0)))</f>
        <v>Stage-wise demands &amp; advances</v>
      </c>
      <c r="E103" s="6" t="str">
        <f aca="false">IF(B103="","",INDEX('Rule Matrix'!$D$2:$D$142,MATCH(B103,'Rule Matrix'!$A$2:$A$142,0)))</f>
        <v>s.13, s.31(5)</v>
      </c>
      <c r="F103" s="6" t="str">
        <f aca="false">IF(B103="","",INDEX('Rule Matrix'!$F$2:$F$142,MATCH(B103,'Rule Matrix'!$A$2:$A$142,0)))</f>
        <v>Time of supply at earlier of invoice/demand due date/receipt</v>
      </c>
      <c r="G103" s="6" t="str">
        <f aca="false">IF(B103="","",INDEX('Rule Matrix'!$G$2:$G$142,MATCH(B103,'Rule Matrix'!$A$2:$A$142,0)))</f>
        <v>Delay</v>
      </c>
      <c r="H103" s="6" t="str">
        <f aca="false">IF(B103="","",INDEX('Rule Matrix'!$H$2:$H$142,MATCH(B103,'Rule Matrix'!$A$2:$A$142,0)))</f>
        <v>Med</v>
      </c>
      <c r="I103" s="6" t="str">
        <f aca="false">IF(B103="","",INDEX('Rule Matrix'!$J$2:$J$142,MATCH(B103,'Rule Matrix'!$A$2:$A$142,0)))</f>
        <v>Pay with interest</v>
      </c>
      <c r="Z103" s="22" t="str">
        <f aca="false">Applicability!A97</f>
        <v>L-01</v>
      </c>
      <c r="AA103" s="22" t="n">
        <f aca="false">IF($Z$5=0,0,IF(AND(INDEX(Applicability!$E$97:$O$97,1,$Z$5)="Y",OR(Applicability!$D$97="",IFERROR(INDEX($B$4:$F$4,MATCH(Applicability!$D$97,$B$3:$F$3,0)),"N")="Y")),1,0))</f>
        <v>1</v>
      </c>
      <c r="AB103" s="22" t="n">
        <f aca="false">IF(AA103=1,SUM(AA$8:AA103),"")</f>
        <v>88</v>
      </c>
    </row>
    <row r="104" customFormat="false" ht="15" hidden="false" customHeight="false" outlineLevel="0" collapsed="false">
      <c r="A104" s="6" t="str">
        <f aca="false">IF(97&gt;$B$5,"",97)</f>
        <v/>
      </c>
      <c r="B104" s="6" t="str">
        <f aca="false">IF(A104="","",INDEX($Z$8:$Z$148,MATCH(A104,$AB$8:$AB$148,0)))</f>
        <v/>
      </c>
      <c r="C104" s="6" t="str">
        <f aca="false">IF(B104="","",INDEX('Rule Matrix'!$B$2:$B$142,MATCH(B104,'Rule Matrix'!$A$2:$A$142,0)))</f>
        <v/>
      </c>
      <c r="D104" s="6" t="str">
        <f aca="false">IF(B104="","",INDEX('Rule Matrix'!$C$2:$C$142,MATCH(B104,'Rule Matrix'!$A$2:$A$142,0)))</f>
        <v/>
      </c>
      <c r="E104" s="6" t="str">
        <f aca="false">IF(B104="","",INDEX('Rule Matrix'!$D$2:$D$142,MATCH(B104,'Rule Matrix'!$A$2:$A$142,0)))</f>
        <v/>
      </c>
      <c r="F104" s="6" t="str">
        <f aca="false">IF(B104="","",INDEX('Rule Matrix'!$F$2:$F$142,MATCH(B104,'Rule Matrix'!$A$2:$A$142,0)))</f>
        <v/>
      </c>
      <c r="G104" s="6" t="str">
        <f aca="false">IF(B104="","",INDEX('Rule Matrix'!$G$2:$G$142,MATCH(B104,'Rule Matrix'!$A$2:$A$142,0)))</f>
        <v/>
      </c>
      <c r="H104" s="6" t="str">
        <f aca="false">IF(B104="","",INDEX('Rule Matrix'!$H$2:$H$142,MATCH(B104,'Rule Matrix'!$A$2:$A$142,0)))</f>
        <v/>
      </c>
      <c r="I104" s="6" t="str">
        <f aca="false">IF(B104="","",INDEX('Rule Matrix'!$J$2:$J$142,MATCH(B104,'Rule Matrix'!$A$2:$A$142,0)))</f>
        <v/>
      </c>
      <c r="Z104" s="22" t="str">
        <f aca="false">Applicability!A98</f>
        <v>L-02</v>
      </c>
      <c r="AA104" s="22" t="n">
        <f aca="false">IF($Z$5=0,0,IF(AND(INDEX(Applicability!$E$98:$O$98,1,$Z$5)="Y",OR(Applicability!$D$98="",IFERROR(INDEX($B$4:$F$4,MATCH(Applicability!$D$98,$B$3:$F$3,0)),"N")="Y")),1,0))</f>
        <v>1</v>
      </c>
      <c r="AB104" s="22" t="n">
        <f aca="false">IF(AA104=1,SUM(AA$8:AA104),"")</f>
        <v>89</v>
      </c>
    </row>
    <row r="105" customFormat="false" ht="15" hidden="false" customHeight="false" outlineLevel="0" collapsed="false">
      <c r="A105" s="6" t="str">
        <f aca="false">IF(98&gt;$B$5,"",98)</f>
        <v/>
      </c>
      <c r="B105" s="6" t="str">
        <f aca="false">IF(A105="","",INDEX($Z$8:$Z$148,MATCH(A105,$AB$8:$AB$148,0)))</f>
        <v/>
      </c>
      <c r="C105" s="6" t="str">
        <f aca="false">IF(B105="","",INDEX('Rule Matrix'!$B$2:$B$142,MATCH(B105,'Rule Matrix'!$A$2:$A$142,0)))</f>
        <v/>
      </c>
      <c r="D105" s="6" t="str">
        <f aca="false">IF(B105="","",INDEX('Rule Matrix'!$C$2:$C$142,MATCH(B105,'Rule Matrix'!$A$2:$A$142,0)))</f>
        <v/>
      </c>
      <c r="E105" s="6" t="str">
        <f aca="false">IF(B105="","",INDEX('Rule Matrix'!$D$2:$D$142,MATCH(B105,'Rule Matrix'!$A$2:$A$142,0)))</f>
        <v/>
      </c>
      <c r="F105" s="6" t="str">
        <f aca="false">IF(B105="","",INDEX('Rule Matrix'!$F$2:$F$142,MATCH(B105,'Rule Matrix'!$A$2:$A$142,0)))</f>
        <v/>
      </c>
      <c r="G105" s="6" t="str">
        <f aca="false">IF(B105="","",INDEX('Rule Matrix'!$G$2:$G$142,MATCH(B105,'Rule Matrix'!$A$2:$A$142,0)))</f>
        <v/>
      </c>
      <c r="H105" s="6" t="str">
        <f aca="false">IF(B105="","",INDEX('Rule Matrix'!$H$2:$H$142,MATCH(B105,'Rule Matrix'!$A$2:$A$142,0)))</f>
        <v/>
      </c>
      <c r="I105" s="6" t="str">
        <f aca="false">IF(B105="","",INDEX('Rule Matrix'!$J$2:$J$142,MATCH(B105,'Rule Matrix'!$A$2:$A$142,0)))</f>
        <v/>
      </c>
      <c r="Z105" s="22" t="str">
        <f aca="false">Applicability!A99</f>
        <v>L-03</v>
      </c>
      <c r="AA105" s="22" t="n">
        <f aca="false">IF($Z$5=0,0,IF(AND(INDEX(Applicability!$E$99:$O$99,1,$Z$5)="Y",OR(Applicability!$D$99="",IFERROR(INDEX($B$4:$F$4,MATCH(Applicability!$D$99,$B$3:$F$3,0)),"N")="Y")),1,0))</f>
        <v>1</v>
      </c>
      <c r="AB105" s="22" t="n">
        <f aca="false">IF(AA105=1,SUM(AA$8:AA105),"")</f>
        <v>90</v>
      </c>
    </row>
    <row r="106" customFormat="false" ht="15" hidden="false" customHeight="false" outlineLevel="0" collapsed="false">
      <c r="A106" s="6" t="str">
        <f aca="false">IF(99&gt;$B$5,"",99)</f>
        <v/>
      </c>
      <c r="B106" s="6" t="str">
        <f aca="false">IF(A106="","",INDEX($Z$8:$Z$148,MATCH(A106,$AB$8:$AB$148,0)))</f>
        <v/>
      </c>
      <c r="C106" s="6" t="str">
        <f aca="false">IF(B106="","",INDEX('Rule Matrix'!$B$2:$B$142,MATCH(B106,'Rule Matrix'!$A$2:$A$142,0)))</f>
        <v/>
      </c>
      <c r="D106" s="6" t="str">
        <f aca="false">IF(B106="","",INDEX('Rule Matrix'!$C$2:$C$142,MATCH(B106,'Rule Matrix'!$A$2:$A$142,0)))</f>
        <v/>
      </c>
      <c r="E106" s="6" t="str">
        <f aca="false">IF(B106="","",INDEX('Rule Matrix'!$D$2:$D$142,MATCH(B106,'Rule Matrix'!$A$2:$A$142,0)))</f>
        <v/>
      </c>
      <c r="F106" s="6" t="str">
        <f aca="false">IF(B106="","",INDEX('Rule Matrix'!$F$2:$F$142,MATCH(B106,'Rule Matrix'!$A$2:$A$142,0)))</f>
        <v/>
      </c>
      <c r="G106" s="6" t="str">
        <f aca="false">IF(B106="","",INDEX('Rule Matrix'!$G$2:$G$142,MATCH(B106,'Rule Matrix'!$A$2:$A$142,0)))</f>
        <v/>
      </c>
      <c r="H106" s="6" t="str">
        <f aca="false">IF(B106="","",INDEX('Rule Matrix'!$H$2:$H$142,MATCH(B106,'Rule Matrix'!$A$2:$A$142,0)))</f>
        <v/>
      </c>
      <c r="I106" s="6" t="str">
        <f aca="false">IF(B106="","",INDEX('Rule Matrix'!$J$2:$J$142,MATCH(B106,'Rule Matrix'!$A$2:$A$142,0)))</f>
        <v/>
      </c>
      <c r="Z106" s="22" t="str">
        <f aca="false">Applicability!A100</f>
        <v>L-04</v>
      </c>
      <c r="AA106" s="22" t="n">
        <f aca="false">IF($Z$5=0,0,IF(AND(INDEX(Applicability!$E$100:$O$100,1,$Z$5)="Y",OR(Applicability!$D$100="",IFERROR(INDEX($B$4:$F$4,MATCH(Applicability!$D$100,$B$3:$F$3,0)),"N")="Y")),1,0))</f>
        <v>1</v>
      </c>
      <c r="AB106" s="22" t="n">
        <f aca="false">IF(AA106=1,SUM(AA$8:AA106),"")</f>
        <v>91</v>
      </c>
    </row>
    <row r="107" customFormat="false" ht="15" hidden="false" customHeight="false" outlineLevel="0" collapsed="false">
      <c r="A107" s="6" t="str">
        <f aca="false">IF(100&gt;$B$5,"",100)</f>
        <v/>
      </c>
      <c r="B107" s="6" t="str">
        <f aca="false">IF(A107="","",INDEX($Z$8:$Z$148,MATCH(A107,$AB$8:$AB$148,0)))</f>
        <v/>
      </c>
      <c r="C107" s="6" t="str">
        <f aca="false">IF(B107="","",INDEX('Rule Matrix'!$B$2:$B$142,MATCH(B107,'Rule Matrix'!$A$2:$A$142,0)))</f>
        <v/>
      </c>
      <c r="D107" s="6" t="str">
        <f aca="false">IF(B107="","",INDEX('Rule Matrix'!$C$2:$C$142,MATCH(B107,'Rule Matrix'!$A$2:$A$142,0)))</f>
        <v/>
      </c>
      <c r="E107" s="6" t="str">
        <f aca="false">IF(B107="","",INDEX('Rule Matrix'!$D$2:$D$142,MATCH(B107,'Rule Matrix'!$A$2:$A$142,0)))</f>
        <v/>
      </c>
      <c r="F107" s="6" t="str">
        <f aca="false">IF(B107="","",INDEX('Rule Matrix'!$F$2:$F$142,MATCH(B107,'Rule Matrix'!$A$2:$A$142,0)))</f>
        <v/>
      </c>
      <c r="G107" s="6" t="str">
        <f aca="false">IF(B107="","",INDEX('Rule Matrix'!$G$2:$G$142,MATCH(B107,'Rule Matrix'!$A$2:$A$142,0)))</f>
        <v/>
      </c>
      <c r="H107" s="6" t="str">
        <f aca="false">IF(B107="","",INDEX('Rule Matrix'!$H$2:$H$142,MATCH(B107,'Rule Matrix'!$A$2:$A$142,0)))</f>
        <v/>
      </c>
      <c r="I107" s="6" t="str">
        <f aca="false">IF(B107="","",INDEX('Rule Matrix'!$J$2:$J$142,MATCH(B107,'Rule Matrix'!$A$2:$A$142,0)))</f>
        <v/>
      </c>
      <c r="Z107" s="22" t="str">
        <f aca="false">Applicability!A101</f>
        <v>L-05</v>
      </c>
      <c r="AA107" s="22" t="n">
        <f aca="false">IF($Z$5=0,0,IF(AND(INDEX(Applicability!$E$101:$O$101,1,$Z$5)="Y",OR(Applicability!$D$101="",IFERROR(INDEX($B$4:$F$4,MATCH(Applicability!$D$101,$B$3:$F$3,0)),"N")="Y")),1,0))</f>
        <v>1</v>
      </c>
      <c r="AB107" s="22" t="n">
        <f aca="false">IF(AA107=1,SUM(AA$8:AA107),"")</f>
        <v>92</v>
      </c>
    </row>
    <row r="108" customFormat="false" ht="15" hidden="false" customHeight="false" outlineLevel="0" collapsed="false">
      <c r="A108" s="6" t="str">
        <f aca="false">IF(101&gt;$B$5,"",101)</f>
        <v/>
      </c>
      <c r="B108" s="6" t="str">
        <f aca="false">IF(A108="","",INDEX($Z$8:$Z$148,MATCH(A108,$AB$8:$AB$148,0)))</f>
        <v/>
      </c>
      <c r="C108" s="6" t="str">
        <f aca="false">IF(B108="","",INDEX('Rule Matrix'!$B$2:$B$142,MATCH(B108,'Rule Matrix'!$A$2:$A$142,0)))</f>
        <v/>
      </c>
      <c r="D108" s="6" t="str">
        <f aca="false">IF(B108="","",INDEX('Rule Matrix'!$C$2:$C$142,MATCH(B108,'Rule Matrix'!$A$2:$A$142,0)))</f>
        <v/>
      </c>
      <c r="E108" s="6" t="str">
        <f aca="false">IF(B108="","",INDEX('Rule Matrix'!$D$2:$D$142,MATCH(B108,'Rule Matrix'!$A$2:$A$142,0)))</f>
        <v/>
      </c>
      <c r="F108" s="6" t="str">
        <f aca="false">IF(B108="","",INDEX('Rule Matrix'!$F$2:$F$142,MATCH(B108,'Rule Matrix'!$A$2:$A$142,0)))</f>
        <v/>
      </c>
      <c r="G108" s="6" t="str">
        <f aca="false">IF(B108="","",INDEX('Rule Matrix'!$G$2:$G$142,MATCH(B108,'Rule Matrix'!$A$2:$A$142,0)))</f>
        <v/>
      </c>
      <c r="H108" s="6" t="str">
        <f aca="false">IF(B108="","",INDEX('Rule Matrix'!$H$2:$H$142,MATCH(B108,'Rule Matrix'!$A$2:$A$142,0)))</f>
        <v/>
      </c>
      <c r="I108" s="6" t="str">
        <f aca="false">IF(B108="","",INDEX('Rule Matrix'!$J$2:$J$142,MATCH(B108,'Rule Matrix'!$A$2:$A$142,0)))</f>
        <v/>
      </c>
      <c r="Z108" s="22" t="str">
        <f aca="false">Applicability!A102</f>
        <v>L-06</v>
      </c>
      <c r="AA108" s="22" t="n">
        <f aca="false">IF($Z$5=0,0,IF(AND(INDEX(Applicability!$E$102:$O$102,1,$Z$5)="Y",OR(Applicability!$D$102="",IFERROR(INDEX($B$4:$F$4,MATCH(Applicability!$D$102,$B$3:$F$3,0)),"N")="Y")),1,0))</f>
        <v>1</v>
      </c>
      <c r="AB108" s="22" t="n">
        <f aca="false">IF(AA108=1,SUM(AA$8:AA108),"")</f>
        <v>93</v>
      </c>
    </row>
    <row r="109" customFormat="false" ht="15" hidden="false" customHeight="false" outlineLevel="0" collapsed="false">
      <c r="A109" s="6" t="str">
        <f aca="false">IF(102&gt;$B$5,"",102)</f>
        <v/>
      </c>
      <c r="B109" s="6" t="str">
        <f aca="false">IF(A109="","",INDEX($Z$8:$Z$148,MATCH(A109,$AB$8:$AB$148,0)))</f>
        <v/>
      </c>
      <c r="C109" s="6" t="str">
        <f aca="false">IF(B109="","",INDEX('Rule Matrix'!$B$2:$B$142,MATCH(B109,'Rule Matrix'!$A$2:$A$142,0)))</f>
        <v/>
      </c>
      <c r="D109" s="6" t="str">
        <f aca="false">IF(B109="","",INDEX('Rule Matrix'!$C$2:$C$142,MATCH(B109,'Rule Matrix'!$A$2:$A$142,0)))</f>
        <v/>
      </c>
      <c r="E109" s="6" t="str">
        <f aca="false">IF(B109="","",INDEX('Rule Matrix'!$D$2:$D$142,MATCH(B109,'Rule Matrix'!$A$2:$A$142,0)))</f>
        <v/>
      </c>
      <c r="F109" s="6" t="str">
        <f aca="false">IF(B109="","",INDEX('Rule Matrix'!$F$2:$F$142,MATCH(B109,'Rule Matrix'!$A$2:$A$142,0)))</f>
        <v/>
      </c>
      <c r="G109" s="6" t="str">
        <f aca="false">IF(B109="","",INDEX('Rule Matrix'!$G$2:$G$142,MATCH(B109,'Rule Matrix'!$A$2:$A$142,0)))</f>
        <v/>
      </c>
      <c r="H109" s="6" t="str">
        <f aca="false">IF(B109="","",INDEX('Rule Matrix'!$H$2:$H$142,MATCH(B109,'Rule Matrix'!$A$2:$A$142,0)))</f>
        <v/>
      </c>
      <c r="I109" s="6" t="str">
        <f aca="false">IF(B109="","",INDEX('Rule Matrix'!$J$2:$J$142,MATCH(B109,'Rule Matrix'!$A$2:$A$142,0)))</f>
        <v/>
      </c>
      <c r="Z109" s="22" t="str">
        <f aca="false">Applicability!A103</f>
        <v>L-07</v>
      </c>
      <c r="AA109" s="22" t="n">
        <f aca="false">IF($Z$5=0,0,IF(AND(INDEX(Applicability!$E$103:$O$103,1,$Z$5)="Y",OR(Applicability!$D$103="",IFERROR(INDEX($B$4:$F$4,MATCH(Applicability!$D$103,$B$3:$F$3,0)),"N")="Y")),1,0))</f>
        <v>1</v>
      </c>
      <c r="AB109" s="22" t="n">
        <f aca="false">IF(AA109=1,SUM(AA$8:AA109),"")</f>
        <v>94</v>
      </c>
    </row>
    <row r="110" customFormat="false" ht="15" hidden="false" customHeight="false" outlineLevel="0" collapsed="false">
      <c r="A110" s="6" t="str">
        <f aca="false">IF(103&gt;$B$5,"",103)</f>
        <v/>
      </c>
      <c r="B110" s="6" t="str">
        <f aca="false">IF(A110="","",INDEX($Z$8:$Z$148,MATCH(A110,$AB$8:$AB$148,0)))</f>
        <v/>
      </c>
      <c r="C110" s="6" t="str">
        <f aca="false">IF(B110="","",INDEX('Rule Matrix'!$B$2:$B$142,MATCH(B110,'Rule Matrix'!$A$2:$A$142,0)))</f>
        <v/>
      </c>
      <c r="D110" s="6" t="str">
        <f aca="false">IF(B110="","",INDEX('Rule Matrix'!$C$2:$C$142,MATCH(B110,'Rule Matrix'!$A$2:$A$142,0)))</f>
        <v/>
      </c>
      <c r="E110" s="6" t="str">
        <f aca="false">IF(B110="","",INDEX('Rule Matrix'!$D$2:$D$142,MATCH(B110,'Rule Matrix'!$A$2:$A$142,0)))</f>
        <v/>
      </c>
      <c r="F110" s="6" t="str">
        <f aca="false">IF(B110="","",INDEX('Rule Matrix'!$F$2:$F$142,MATCH(B110,'Rule Matrix'!$A$2:$A$142,0)))</f>
        <v/>
      </c>
      <c r="G110" s="6" t="str">
        <f aca="false">IF(B110="","",INDEX('Rule Matrix'!$G$2:$G$142,MATCH(B110,'Rule Matrix'!$A$2:$A$142,0)))</f>
        <v/>
      </c>
      <c r="H110" s="6" t="str">
        <f aca="false">IF(B110="","",INDEX('Rule Matrix'!$H$2:$H$142,MATCH(B110,'Rule Matrix'!$A$2:$A$142,0)))</f>
        <v/>
      </c>
      <c r="I110" s="6" t="str">
        <f aca="false">IF(B110="","",INDEX('Rule Matrix'!$J$2:$J$142,MATCH(B110,'Rule Matrix'!$A$2:$A$142,0)))</f>
        <v/>
      </c>
      <c r="Z110" s="22" t="str">
        <f aca="false">Applicability!A104</f>
        <v>L-08</v>
      </c>
      <c r="AA110" s="22" t="n">
        <f aca="false">IF($Z$5=0,0,IF(AND(INDEX(Applicability!$E$104:$O$104,1,$Z$5)="Y",OR(Applicability!$D$104="",IFERROR(INDEX($B$4:$F$4,MATCH(Applicability!$D$104,$B$3:$F$3,0)),"N")="Y")),1,0))</f>
        <v>1</v>
      </c>
      <c r="AB110" s="22" t="n">
        <f aca="false">IF(AA110=1,SUM(AA$8:AA110),"")</f>
        <v>95</v>
      </c>
    </row>
    <row r="111" customFormat="false" ht="15" hidden="false" customHeight="false" outlineLevel="0" collapsed="false">
      <c r="A111" s="6" t="str">
        <f aca="false">IF(104&gt;$B$5,"",104)</f>
        <v/>
      </c>
      <c r="B111" s="6" t="str">
        <f aca="false">IF(A111="","",INDEX($Z$8:$Z$148,MATCH(A111,$AB$8:$AB$148,0)))</f>
        <v/>
      </c>
      <c r="C111" s="6" t="str">
        <f aca="false">IF(B111="","",INDEX('Rule Matrix'!$B$2:$B$142,MATCH(B111,'Rule Matrix'!$A$2:$A$142,0)))</f>
        <v/>
      </c>
      <c r="D111" s="6" t="str">
        <f aca="false">IF(B111="","",INDEX('Rule Matrix'!$C$2:$C$142,MATCH(B111,'Rule Matrix'!$A$2:$A$142,0)))</f>
        <v/>
      </c>
      <c r="E111" s="6" t="str">
        <f aca="false">IF(B111="","",INDEX('Rule Matrix'!$D$2:$D$142,MATCH(B111,'Rule Matrix'!$A$2:$A$142,0)))</f>
        <v/>
      </c>
      <c r="F111" s="6" t="str">
        <f aca="false">IF(B111="","",INDEX('Rule Matrix'!$F$2:$F$142,MATCH(B111,'Rule Matrix'!$A$2:$A$142,0)))</f>
        <v/>
      </c>
      <c r="G111" s="6" t="str">
        <f aca="false">IF(B111="","",INDEX('Rule Matrix'!$G$2:$G$142,MATCH(B111,'Rule Matrix'!$A$2:$A$142,0)))</f>
        <v/>
      </c>
      <c r="H111" s="6" t="str">
        <f aca="false">IF(B111="","",INDEX('Rule Matrix'!$H$2:$H$142,MATCH(B111,'Rule Matrix'!$A$2:$A$142,0)))</f>
        <v/>
      </c>
      <c r="I111" s="6" t="str">
        <f aca="false">IF(B111="","",INDEX('Rule Matrix'!$J$2:$J$142,MATCH(B111,'Rule Matrix'!$A$2:$A$142,0)))</f>
        <v/>
      </c>
      <c r="Z111" s="22" t="str">
        <f aca="false">Applicability!A105</f>
        <v>L-09</v>
      </c>
      <c r="AA111" s="22" t="n">
        <f aca="false">IF($Z$5=0,0,IF(AND(INDEX(Applicability!$E$105:$O$105,1,$Z$5)="Y",OR(Applicability!$D$105="",IFERROR(INDEX($B$4:$F$4,MATCH(Applicability!$D$105,$B$3:$F$3,0)),"N")="Y")),1,0))</f>
        <v>1</v>
      </c>
      <c r="AB111" s="22" t="n">
        <f aca="false">IF(AA111=1,SUM(AA$8:AA111),"")</f>
        <v>96</v>
      </c>
    </row>
    <row r="112" customFormat="false" ht="15" hidden="false" customHeight="false" outlineLevel="0" collapsed="false">
      <c r="A112" s="6" t="str">
        <f aca="false">IF(105&gt;$B$5,"",105)</f>
        <v/>
      </c>
      <c r="B112" s="6" t="str">
        <f aca="false">IF(A112="","",INDEX($Z$8:$Z$148,MATCH(A112,$AB$8:$AB$148,0)))</f>
        <v/>
      </c>
      <c r="C112" s="6" t="str">
        <f aca="false">IF(B112="","",INDEX('Rule Matrix'!$B$2:$B$142,MATCH(B112,'Rule Matrix'!$A$2:$A$142,0)))</f>
        <v/>
      </c>
      <c r="D112" s="6" t="str">
        <f aca="false">IF(B112="","",INDEX('Rule Matrix'!$C$2:$C$142,MATCH(B112,'Rule Matrix'!$A$2:$A$142,0)))</f>
        <v/>
      </c>
      <c r="E112" s="6" t="str">
        <f aca="false">IF(B112="","",INDEX('Rule Matrix'!$D$2:$D$142,MATCH(B112,'Rule Matrix'!$A$2:$A$142,0)))</f>
        <v/>
      </c>
      <c r="F112" s="6" t="str">
        <f aca="false">IF(B112="","",INDEX('Rule Matrix'!$F$2:$F$142,MATCH(B112,'Rule Matrix'!$A$2:$A$142,0)))</f>
        <v/>
      </c>
      <c r="G112" s="6" t="str">
        <f aca="false">IF(B112="","",INDEX('Rule Matrix'!$G$2:$G$142,MATCH(B112,'Rule Matrix'!$A$2:$A$142,0)))</f>
        <v/>
      </c>
      <c r="H112" s="6" t="str">
        <f aca="false">IF(B112="","",INDEX('Rule Matrix'!$H$2:$H$142,MATCH(B112,'Rule Matrix'!$A$2:$A$142,0)))</f>
        <v/>
      </c>
      <c r="I112" s="6" t="str">
        <f aca="false">IF(B112="","",INDEX('Rule Matrix'!$J$2:$J$142,MATCH(B112,'Rule Matrix'!$A$2:$A$142,0)))</f>
        <v/>
      </c>
      <c r="Z112" s="22" t="str">
        <f aca="false">Applicability!A106</f>
        <v>L-10</v>
      </c>
      <c r="AA112" s="22" t="n">
        <f aca="false">IF($Z$5=0,0,IF(AND(INDEX(Applicability!$E$106:$O$106,1,$Z$5)="Y",OR(Applicability!$D$106="",IFERROR(INDEX($B$4:$F$4,MATCH(Applicability!$D$106,$B$3:$F$3,0)),"N")="Y")),1,0))</f>
        <v>0</v>
      </c>
      <c r="AB112" s="22" t="str">
        <f aca="false">IF(AA112=1,SUM(AA$8:AA112),"")</f>
        <v/>
      </c>
    </row>
    <row r="113" customFormat="false" ht="15" hidden="false" customHeight="false" outlineLevel="0" collapsed="false">
      <c r="A113" s="6" t="str">
        <f aca="false">IF(106&gt;$B$5,"",106)</f>
        <v/>
      </c>
      <c r="B113" s="6" t="str">
        <f aca="false">IF(A113="","",INDEX($Z$8:$Z$148,MATCH(A113,$AB$8:$AB$148,0)))</f>
        <v/>
      </c>
      <c r="C113" s="6" t="str">
        <f aca="false">IF(B113="","",INDEX('Rule Matrix'!$B$2:$B$142,MATCH(B113,'Rule Matrix'!$A$2:$A$142,0)))</f>
        <v/>
      </c>
      <c r="D113" s="6" t="str">
        <f aca="false">IF(B113="","",INDEX('Rule Matrix'!$C$2:$C$142,MATCH(B113,'Rule Matrix'!$A$2:$A$142,0)))</f>
        <v/>
      </c>
      <c r="E113" s="6" t="str">
        <f aca="false">IF(B113="","",INDEX('Rule Matrix'!$D$2:$D$142,MATCH(B113,'Rule Matrix'!$A$2:$A$142,0)))</f>
        <v/>
      </c>
      <c r="F113" s="6" t="str">
        <f aca="false">IF(B113="","",INDEX('Rule Matrix'!$F$2:$F$142,MATCH(B113,'Rule Matrix'!$A$2:$A$142,0)))</f>
        <v/>
      </c>
      <c r="G113" s="6" t="str">
        <f aca="false">IF(B113="","",INDEX('Rule Matrix'!$G$2:$G$142,MATCH(B113,'Rule Matrix'!$A$2:$A$142,0)))</f>
        <v/>
      </c>
      <c r="H113" s="6" t="str">
        <f aca="false">IF(B113="","",INDEX('Rule Matrix'!$H$2:$H$142,MATCH(B113,'Rule Matrix'!$A$2:$A$142,0)))</f>
        <v/>
      </c>
      <c r="I113" s="6" t="str">
        <f aca="false">IF(B113="","",INDEX('Rule Matrix'!$J$2:$J$142,MATCH(B113,'Rule Matrix'!$A$2:$A$142,0)))</f>
        <v/>
      </c>
      <c r="Z113" s="22" t="str">
        <f aca="false">Applicability!A107</f>
        <v>L-11</v>
      </c>
      <c r="AA113" s="22" t="n">
        <f aca="false">IF($Z$5=0,0,IF(AND(INDEX(Applicability!$E$107:$O$107,1,$Z$5)="Y",OR(Applicability!$D$107="",IFERROR(INDEX($B$4:$F$4,MATCH(Applicability!$D$107,$B$3:$F$3,0)),"N")="Y")),1,0))</f>
        <v>0</v>
      </c>
      <c r="AB113" s="22" t="str">
        <f aca="false">IF(AA113=1,SUM(AA$8:AA113),"")</f>
        <v/>
      </c>
    </row>
    <row r="114" customFormat="false" ht="15" hidden="false" customHeight="false" outlineLevel="0" collapsed="false">
      <c r="A114" s="6" t="str">
        <f aca="false">IF(107&gt;$B$5,"",107)</f>
        <v/>
      </c>
      <c r="B114" s="6" t="str">
        <f aca="false">IF(A114="","",INDEX($Z$8:$Z$148,MATCH(A114,$AB$8:$AB$148,0)))</f>
        <v/>
      </c>
      <c r="C114" s="6" t="str">
        <f aca="false">IF(B114="","",INDEX('Rule Matrix'!$B$2:$B$142,MATCH(B114,'Rule Matrix'!$A$2:$A$142,0)))</f>
        <v/>
      </c>
      <c r="D114" s="6" t="str">
        <f aca="false">IF(B114="","",INDEX('Rule Matrix'!$C$2:$C$142,MATCH(B114,'Rule Matrix'!$A$2:$A$142,0)))</f>
        <v/>
      </c>
      <c r="E114" s="6" t="str">
        <f aca="false">IF(B114="","",INDEX('Rule Matrix'!$D$2:$D$142,MATCH(B114,'Rule Matrix'!$A$2:$A$142,0)))</f>
        <v/>
      </c>
      <c r="F114" s="6" t="str">
        <f aca="false">IF(B114="","",INDEX('Rule Matrix'!$F$2:$F$142,MATCH(B114,'Rule Matrix'!$A$2:$A$142,0)))</f>
        <v/>
      </c>
      <c r="G114" s="6" t="str">
        <f aca="false">IF(B114="","",INDEX('Rule Matrix'!$G$2:$G$142,MATCH(B114,'Rule Matrix'!$A$2:$A$142,0)))</f>
        <v/>
      </c>
      <c r="H114" s="6" t="str">
        <f aca="false">IF(B114="","",INDEX('Rule Matrix'!$H$2:$H$142,MATCH(B114,'Rule Matrix'!$A$2:$A$142,0)))</f>
        <v/>
      </c>
      <c r="I114" s="6" t="str">
        <f aca="false">IF(B114="","",INDEX('Rule Matrix'!$J$2:$J$142,MATCH(B114,'Rule Matrix'!$A$2:$A$142,0)))</f>
        <v/>
      </c>
      <c r="Z114" s="22" t="str">
        <f aca="false">Applicability!A108</f>
        <v>L-12</v>
      </c>
      <c r="AA114" s="22" t="n">
        <f aca="false">IF($Z$5=0,0,IF(AND(INDEX(Applicability!$E$108:$O$108,1,$Z$5)="Y",OR(Applicability!$D$108="",IFERROR(INDEX($B$4:$F$4,MATCH(Applicability!$D$108,$B$3:$F$3,0)),"N")="Y")),1,0))</f>
        <v>0</v>
      </c>
      <c r="AB114" s="22" t="str">
        <f aca="false">IF(AA114=1,SUM(AA$8:AA114),"")</f>
        <v/>
      </c>
    </row>
    <row r="115" customFormat="false" ht="15" hidden="false" customHeight="false" outlineLevel="0" collapsed="false">
      <c r="A115" s="6" t="str">
        <f aca="false">IF(108&gt;$B$5,"",108)</f>
        <v/>
      </c>
      <c r="B115" s="6" t="str">
        <f aca="false">IF(A115="","",INDEX($Z$8:$Z$148,MATCH(A115,$AB$8:$AB$148,0)))</f>
        <v/>
      </c>
      <c r="C115" s="6" t="str">
        <f aca="false">IF(B115="","",INDEX('Rule Matrix'!$B$2:$B$142,MATCH(B115,'Rule Matrix'!$A$2:$A$142,0)))</f>
        <v/>
      </c>
      <c r="D115" s="6" t="str">
        <f aca="false">IF(B115="","",INDEX('Rule Matrix'!$C$2:$C$142,MATCH(B115,'Rule Matrix'!$A$2:$A$142,0)))</f>
        <v/>
      </c>
      <c r="E115" s="6" t="str">
        <f aca="false">IF(B115="","",INDEX('Rule Matrix'!$D$2:$D$142,MATCH(B115,'Rule Matrix'!$A$2:$A$142,0)))</f>
        <v/>
      </c>
      <c r="F115" s="6" t="str">
        <f aca="false">IF(B115="","",INDEX('Rule Matrix'!$F$2:$F$142,MATCH(B115,'Rule Matrix'!$A$2:$A$142,0)))</f>
        <v/>
      </c>
      <c r="G115" s="6" t="str">
        <f aca="false">IF(B115="","",INDEX('Rule Matrix'!$G$2:$G$142,MATCH(B115,'Rule Matrix'!$A$2:$A$142,0)))</f>
        <v/>
      </c>
      <c r="H115" s="6" t="str">
        <f aca="false">IF(B115="","",INDEX('Rule Matrix'!$H$2:$H$142,MATCH(B115,'Rule Matrix'!$A$2:$A$142,0)))</f>
        <v/>
      </c>
      <c r="I115" s="6" t="str">
        <f aca="false">IF(B115="","",INDEX('Rule Matrix'!$J$2:$J$142,MATCH(B115,'Rule Matrix'!$A$2:$A$142,0)))</f>
        <v/>
      </c>
      <c r="Z115" s="22" t="str">
        <f aca="false">Applicability!A109</f>
        <v>L-13</v>
      </c>
      <c r="AA115" s="22" t="n">
        <f aca="false">IF($Z$5=0,0,IF(AND(INDEX(Applicability!$E$109:$O$109,1,$Z$5)="Y",OR(Applicability!$D$109="",IFERROR(INDEX($B$4:$F$4,MATCH(Applicability!$D$109,$B$3:$F$3,0)),"N")="Y")),1,0))</f>
        <v>0</v>
      </c>
      <c r="AB115" s="22" t="str">
        <f aca="false">IF(AA115=1,SUM(AA$8:AA115),"")</f>
        <v/>
      </c>
    </row>
    <row r="116" customFormat="false" ht="15" hidden="false" customHeight="false" outlineLevel="0" collapsed="false">
      <c r="A116" s="6" t="str">
        <f aca="false">IF(109&gt;$B$5,"",109)</f>
        <v/>
      </c>
      <c r="B116" s="6" t="str">
        <f aca="false">IF(A116="","",INDEX($Z$8:$Z$148,MATCH(A116,$AB$8:$AB$148,0)))</f>
        <v/>
      </c>
      <c r="C116" s="6" t="str">
        <f aca="false">IF(B116="","",INDEX('Rule Matrix'!$B$2:$B$142,MATCH(B116,'Rule Matrix'!$A$2:$A$142,0)))</f>
        <v/>
      </c>
      <c r="D116" s="6" t="str">
        <f aca="false">IF(B116="","",INDEX('Rule Matrix'!$C$2:$C$142,MATCH(B116,'Rule Matrix'!$A$2:$A$142,0)))</f>
        <v/>
      </c>
      <c r="E116" s="6" t="str">
        <f aca="false">IF(B116="","",INDEX('Rule Matrix'!$D$2:$D$142,MATCH(B116,'Rule Matrix'!$A$2:$A$142,0)))</f>
        <v/>
      </c>
      <c r="F116" s="6" t="str">
        <f aca="false">IF(B116="","",INDEX('Rule Matrix'!$F$2:$F$142,MATCH(B116,'Rule Matrix'!$A$2:$A$142,0)))</f>
        <v/>
      </c>
      <c r="G116" s="6" t="str">
        <f aca="false">IF(B116="","",INDEX('Rule Matrix'!$G$2:$G$142,MATCH(B116,'Rule Matrix'!$A$2:$A$142,0)))</f>
        <v/>
      </c>
      <c r="H116" s="6" t="str">
        <f aca="false">IF(B116="","",INDEX('Rule Matrix'!$H$2:$H$142,MATCH(B116,'Rule Matrix'!$A$2:$A$142,0)))</f>
        <v/>
      </c>
      <c r="I116" s="6" t="str">
        <f aca="false">IF(B116="","",INDEX('Rule Matrix'!$J$2:$J$142,MATCH(B116,'Rule Matrix'!$A$2:$A$142,0)))</f>
        <v/>
      </c>
      <c r="Z116" s="22" t="str">
        <f aca="false">Applicability!A110</f>
        <v>L-14</v>
      </c>
      <c r="AA116" s="22" t="n">
        <f aca="false">IF($Z$5=0,0,IF(AND(INDEX(Applicability!$E$110:$O$110,1,$Z$5)="Y",OR(Applicability!$D$110="",IFERROR(INDEX($B$4:$F$4,MATCH(Applicability!$D$110,$B$3:$F$3,0)),"N")="Y")),1,0))</f>
        <v>0</v>
      </c>
      <c r="AB116" s="22" t="str">
        <f aca="false">IF(AA116=1,SUM(AA$8:AA116),"")</f>
        <v/>
      </c>
    </row>
    <row r="117" customFormat="false" ht="15" hidden="false" customHeight="false" outlineLevel="0" collapsed="false">
      <c r="A117" s="6" t="str">
        <f aca="false">IF(110&gt;$B$5,"",110)</f>
        <v/>
      </c>
      <c r="B117" s="6" t="str">
        <f aca="false">IF(A117="","",INDEX($Z$8:$Z$148,MATCH(A117,$AB$8:$AB$148,0)))</f>
        <v/>
      </c>
      <c r="C117" s="6" t="str">
        <f aca="false">IF(B117="","",INDEX('Rule Matrix'!$B$2:$B$142,MATCH(B117,'Rule Matrix'!$A$2:$A$142,0)))</f>
        <v/>
      </c>
      <c r="D117" s="6" t="str">
        <f aca="false">IF(B117="","",INDEX('Rule Matrix'!$C$2:$C$142,MATCH(B117,'Rule Matrix'!$A$2:$A$142,0)))</f>
        <v/>
      </c>
      <c r="E117" s="6" t="str">
        <f aca="false">IF(B117="","",INDEX('Rule Matrix'!$D$2:$D$142,MATCH(B117,'Rule Matrix'!$A$2:$A$142,0)))</f>
        <v/>
      </c>
      <c r="F117" s="6" t="str">
        <f aca="false">IF(B117="","",INDEX('Rule Matrix'!$F$2:$F$142,MATCH(B117,'Rule Matrix'!$A$2:$A$142,0)))</f>
        <v/>
      </c>
      <c r="G117" s="6" t="str">
        <f aca="false">IF(B117="","",INDEX('Rule Matrix'!$G$2:$G$142,MATCH(B117,'Rule Matrix'!$A$2:$A$142,0)))</f>
        <v/>
      </c>
      <c r="H117" s="6" t="str">
        <f aca="false">IF(B117="","",INDEX('Rule Matrix'!$H$2:$H$142,MATCH(B117,'Rule Matrix'!$A$2:$A$142,0)))</f>
        <v/>
      </c>
      <c r="I117" s="6" t="str">
        <f aca="false">IF(B117="","",INDEX('Rule Matrix'!$J$2:$J$142,MATCH(B117,'Rule Matrix'!$A$2:$A$142,0)))</f>
        <v/>
      </c>
      <c r="Z117" s="22" t="str">
        <f aca="false">Applicability!A111</f>
        <v>L-15</v>
      </c>
      <c r="AA117" s="22" t="n">
        <f aca="false">IF($Z$5=0,0,IF(AND(INDEX(Applicability!$E$111:$O$111,1,$Z$5)="Y",OR(Applicability!$D$111="",IFERROR(INDEX($B$4:$F$4,MATCH(Applicability!$D$111,$B$3:$F$3,0)),"N")="Y")),1,0))</f>
        <v>0</v>
      </c>
      <c r="AB117" s="22" t="str">
        <f aca="false">IF(AA117=1,SUM(AA$8:AA117),"")</f>
        <v/>
      </c>
    </row>
    <row r="118" customFormat="false" ht="15" hidden="false" customHeight="false" outlineLevel="0" collapsed="false">
      <c r="A118" s="6" t="str">
        <f aca="false">IF(111&gt;$B$5,"",111)</f>
        <v/>
      </c>
      <c r="B118" s="6" t="str">
        <f aca="false">IF(A118="","",INDEX($Z$8:$Z$148,MATCH(A118,$AB$8:$AB$148,0)))</f>
        <v/>
      </c>
      <c r="C118" s="6" t="str">
        <f aca="false">IF(B118="","",INDEX('Rule Matrix'!$B$2:$B$142,MATCH(B118,'Rule Matrix'!$A$2:$A$142,0)))</f>
        <v/>
      </c>
      <c r="D118" s="6" t="str">
        <f aca="false">IF(B118="","",INDEX('Rule Matrix'!$C$2:$C$142,MATCH(B118,'Rule Matrix'!$A$2:$A$142,0)))</f>
        <v/>
      </c>
      <c r="E118" s="6" t="str">
        <f aca="false">IF(B118="","",INDEX('Rule Matrix'!$D$2:$D$142,MATCH(B118,'Rule Matrix'!$A$2:$A$142,0)))</f>
        <v/>
      </c>
      <c r="F118" s="6" t="str">
        <f aca="false">IF(B118="","",INDEX('Rule Matrix'!$F$2:$F$142,MATCH(B118,'Rule Matrix'!$A$2:$A$142,0)))</f>
        <v/>
      </c>
      <c r="G118" s="6" t="str">
        <f aca="false">IF(B118="","",INDEX('Rule Matrix'!$G$2:$G$142,MATCH(B118,'Rule Matrix'!$A$2:$A$142,0)))</f>
        <v/>
      </c>
      <c r="H118" s="6" t="str">
        <f aca="false">IF(B118="","",INDEX('Rule Matrix'!$H$2:$H$142,MATCH(B118,'Rule Matrix'!$A$2:$A$142,0)))</f>
        <v/>
      </c>
      <c r="I118" s="6" t="str">
        <f aca="false">IF(B118="","",INDEX('Rule Matrix'!$J$2:$J$142,MATCH(B118,'Rule Matrix'!$A$2:$A$142,0)))</f>
        <v/>
      </c>
      <c r="Z118" s="22" t="str">
        <f aca="false">Applicability!A112</f>
        <v>L-16</v>
      </c>
      <c r="AA118" s="22" t="n">
        <f aca="false">IF($Z$5=0,0,IF(AND(INDEX(Applicability!$E$112:$O$112,1,$Z$5)="Y",OR(Applicability!$D$112="",IFERROR(INDEX($B$4:$F$4,MATCH(Applicability!$D$112,$B$3:$F$3,0)),"N")="Y")),1,0))</f>
        <v>0</v>
      </c>
      <c r="AB118" s="22" t="str">
        <f aca="false">IF(AA118=1,SUM(AA$8:AA118),"")</f>
        <v/>
      </c>
    </row>
    <row r="119" customFormat="false" ht="15" hidden="false" customHeight="false" outlineLevel="0" collapsed="false">
      <c r="A119" s="6" t="str">
        <f aca="false">IF(112&gt;$B$5,"",112)</f>
        <v/>
      </c>
      <c r="B119" s="6" t="str">
        <f aca="false">IF(A119="","",INDEX($Z$8:$Z$148,MATCH(A119,$AB$8:$AB$148,0)))</f>
        <v/>
      </c>
      <c r="C119" s="6" t="str">
        <f aca="false">IF(B119="","",INDEX('Rule Matrix'!$B$2:$B$142,MATCH(B119,'Rule Matrix'!$A$2:$A$142,0)))</f>
        <v/>
      </c>
      <c r="D119" s="6" t="str">
        <f aca="false">IF(B119="","",INDEX('Rule Matrix'!$C$2:$C$142,MATCH(B119,'Rule Matrix'!$A$2:$A$142,0)))</f>
        <v/>
      </c>
      <c r="E119" s="6" t="str">
        <f aca="false">IF(B119="","",INDEX('Rule Matrix'!$D$2:$D$142,MATCH(B119,'Rule Matrix'!$A$2:$A$142,0)))</f>
        <v/>
      </c>
      <c r="F119" s="6" t="str">
        <f aca="false">IF(B119="","",INDEX('Rule Matrix'!$F$2:$F$142,MATCH(B119,'Rule Matrix'!$A$2:$A$142,0)))</f>
        <v/>
      </c>
      <c r="G119" s="6" t="str">
        <f aca="false">IF(B119="","",INDEX('Rule Matrix'!$G$2:$G$142,MATCH(B119,'Rule Matrix'!$A$2:$A$142,0)))</f>
        <v/>
      </c>
      <c r="H119" s="6" t="str">
        <f aca="false">IF(B119="","",INDEX('Rule Matrix'!$H$2:$H$142,MATCH(B119,'Rule Matrix'!$A$2:$A$142,0)))</f>
        <v/>
      </c>
      <c r="I119" s="6" t="str">
        <f aca="false">IF(B119="","",INDEX('Rule Matrix'!$J$2:$J$142,MATCH(B119,'Rule Matrix'!$A$2:$A$142,0)))</f>
        <v/>
      </c>
      <c r="Z119" s="22" t="str">
        <f aca="false">Applicability!A113</f>
        <v>L-17</v>
      </c>
      <c r="AA119" s="22" t="n">
        <f aca="false">IF($Z$5=0,0,IF(AND(INDEX(Applicability!$E$113:$O$113,1,$Z$5)="Y",OR(Applicability!$D$113="",IFERROR(INDEX($B$4:$F$4,MATCH(Applicability!$D$113,$B$3:$F$3,0)),"N")="Y")),1,0))</f>
        <v>0</v>
      </c>
      <c r="AB119" s="22" t="str">
        <f aca="false">IF(AA119=1,SUM(AA$8:AA119),"")</f>
        <v/>
      </c>
    </row>
    <row r="120" customFormat="false" ht="15" hidden="false" customHeight="false" outlineLevel="0" collapsed="false">
      <c r="A120" s="6" t="str">
        <f aca="false">IF(113&gt;$B$5,"",113)</f>
        <v/>
      </c>
      <c r="B120" s="6" t="str">
        <f aca="false">IF(A120="","",INDEX($Z$8:$Z$148,MATCH(A120,$AB$8:$AB$148,0)))</f>
        <v/>
      </c>
      <c r="C120" s="6" t="str">
        <f aca="false">IF(B120="","",INDEX('Rule Matrix'!$B$2:$B$142,MATCH(B120,'Rule Matrix'!$A$2:$A$142,0)))</f>
        <v/>
      </c>
      <c r="D120" s="6" t="str">
        <f aca="false">IF(B120="","",INDEX('Rule Matrix'!$C$2:$C$142,MATCH(B120,'Rule Matrix'!$A$2:$A$142,0)))</f>
        <v/>
      </c>
      <c r="E120" s="6" t="str">
        <f aca="false">IF(B120="","",INDEX('Rule Matrix'!$D$2:$D$142,MATCH(B120,'Rule Matrix'!$A$2:$A$142,0)))</f>
        <v/>
      </c>
      <c r="F120" s="6" t="str">
        <f aca="false">IF(B120="","",INDEX('Rule Matrix'!$F$2:$F$142,MATCH(B120,'Rule Matrix'!$A$2:$A$142,0)))</f>
        <v/>
      </c>
      <c r="G120" s="6" t="str">
        <f aca="false">IF(B120="","",INDEX('Rule Matrix'!$G$2:$G$142,MATCH(B120,'Rule Matrix'!$A$2:$A$142,0)))</f>
        <v/>
      </c>
      <c r="H120" s="6" t="str">
        <f aca="false">IF(B120="","",INDEX('Rule Matrix'!$H$2:$H$142,MATCH(B120,'Rule Matrix'!$A$2:$A$142,0)))</f>
        <v/>
      </c>
      <c r="I120" s="6" t="str">
        <f aca="false">IF(B120="","",INDEX('Rule Matrix'!$J$2:$J$142,MATCH(B120,'Rule Matrix'!$A$2:$A$142,0)))</f>
        <v/>
      </c>
      <c r="Z120" s="22" t="str">
        <f aca="false">Applicability!A114</f>
        <v>L-18</v>
      </c>
      <c r="AA120" s="22" t="n">
        <f aca="false">IF($Z$5=0,0,IF(AND(INDEX(Applicability!$E$114:$O$114,1,$Z$5)="Y",OR(Applicability!$D$114="",IFERROR(INDEX($B$4:$F$4,MATCH(Applicability!$D$114,$B$3:$F$3,0)),"N")="Y")),1,0))</f>
        <v>0</v>
      </c>
      <c r="AB120" s="22" t="str">
        <f aca="false">IF(AA120=1,SUM(AA$8:AA120),"")</f>
        <v/>
      </c>
    </row>
    <row r="121" customFormat="false" ht="15" hidden="false" customHeight="false" outlineLevel="0" collapsed="false">
      <c r="A121" s="6" t="str">
        <f aca="false">IF(114&gt;$B$5,"",114)</f>
        <v/>
      </c>
      <c r="B121" s="6" t="str">
        <f aca="false">IF(A121="","",INDEX($Z$8:$Z$148,MATCH(A121,$AB$8:$AB$148,0)))</f>
        <v/>
      </c>
      <c r="C121" s="6" t="str">
        <f aca="false">IF(B121="","",INDEX('Rule Matrix'!$B$2:$B$142,MATCH(B121,'Rule Matrix'!$A$2:$A$142,0)))</f>
        <v/>
      </c>
      <c r="D121" s="6" t="str">
        <f aca="false">IF(B121="","",INDEX('Rule Matrix'!$C$2:$C$142,MATCH(B121,'Rule Matrix'!$A$2:$A$142,0)))</f>
        <v/>
      </c>
      <c r="E121" s="6" t="str">
        <f aca="false">IF(B121="","",INDEX('Rule Matrix'!$D$2:$D$142,MATCH(B121,'Rule Matrix'!$A$2:$A$142,0)))</f>
        <v/>
      </c>
      <c r="F121" s="6" t="str">
        <f aca="false">IF(B121="","",INDEX('Rule Matrix'!$F$2:$F$142,MATCH(B121,'Rule Matrix'!$A$2:$A$142,0)))</f>
        <v/>
      </c>
      <c r="G121" s="6" t="str">
        <f aca="false">IF(B121="","",INDEX('Rule Matrix'!$G$2:$G$142,MATCH(B121,'Rule Matrix'!$A$2:$A$142,0)))</f>
        <v/>
      </c>
      <c r="H121" s="6" t="str">
        <f aca="false">IF(B121="","",INDEX('Rule Matrix'!$H$2:$H$142,MATCH(B121,'Rule Matrix'!$A$2:$A$142,0)))</f>
        <v/>
      </c>
      <c r="I121" s="6" t="str">
        <f aca="false">IF(B121="","",INDEX('Rule Matrix'!$J$2:$J$142,MATCH(B121,'Rule Matrix'!$A$2:$A$142,0)))</f>
        <v/>
      </c>
      <c r="Z121" s="22" t="str">
        <f aca="false">Applicability!A115</f>
        <v>L-19</v>
      </c>
      <c r="AA121" s="22" t="n">
        <f aca="false">IF($Z$5=0,0,IF(AND(INDEX(Applicability!$E$115:$O$115,1,$Z$5)="Y",OR(Applicability!$D$115="",IFERROR(INDEX($B$4:$F$4,MATCH(Applicability!$D$115,$B$3:$F$3,0)),"N")="Y")),1,0))</f>
        <v>0</v>
      </c>
      <c r="AB121" s="22" t="str">
        <f aca="false">IF(AA121=1,SUM(AA$8:AA121),"")</f>
        <v/>
      </c>
    </row>
    <row r="122" customFormat="false" ht="15" hidden="false" customHeight="false" outlineLevel="0" collapsed="false">
      <c r="A122" s="6" t="str">
        <f aca="false">IF(115&gt;$B$5,"",115)</f>
        <v/>
      </c>
      <c r="B122" s="6" t="str">
        <f aca="false">IF(A122="","",INDEX($Z$8:$Z$148,MATCH(A122,$AB$8:$AB$148,0)))</f>
        <v/>
      </c>
      <c r="C122" s="6" t="str">
        <f aca="false">IF(B122="","",INDEX('Rule Matrix'!$B$2:$B$142,MATCH(B122,'Rule Matrix'!$A$2:$A$142,0)))</f>
        <v/>
      </c>
      <c r="D122" s="6" t="str">
        <f aca="false">IF(B122="","",INDEX('Rule Matrix'!$C$2:$C$142,MATCH(B122,'Rule Matrix'!$A$2:$A$142,0)))</f>
        <v/>
      </c>
      <c r="E122" s="6" t="str">
        <f aca="false">IF(B122="","",INDEX('Rule Matrix'!$D$2:$D$142,MATCH(B122,'Rule Matrix'!$A$2:$A$142,0)))</f>
        <v/>
      </c>
      <c r="F122" s="6" t="str">
        <f aca="false">IF(B122="","",INDEX('Rule Matrix'!$F$2:$F$142,MATCH(B122,'Rule Matrix'!$A$2:$A$142,0)))</f>
        <v/>
      </c>
      <c r="G122" s="6" t="str">
        <f aca="false">IF(B122="","",INDEX('Rule Matrix'!$G$2:$G$142,MATCH(B122,'Rule Matrix'!$A$2:$A$142,0)))</f>
        <v/>
      </c>
      <c r="H122" s="6" t="str">
        <f aca="false">IF(B122="","",INDEX('Rule Matrix'!$H$2:$H$142,MATCH(B122,'Rule Matrix'!$A$2:$A$142,0)))</f>
        <v/>
      </c>
      <c r="I122" s="6" t="str">
        <f aca="false">IF(B122="","",INDEX('Rule Matrix'!$J$2:$J$142,MATCH(B122,'Rule Matrix'!$A$2:$A$142,0)))</f>
        <v/>
      </c>
      <c r="Z122" s="22" t="str">
        <f aca="false">Applicability!A116</f>
        <v>L-20</v>
      </c>
      <c r="AA122" s="22" t="n">
        <f aca="false">IF($Z$5=0,0,IF(AND(INDEX(Applicability!$E$116:$O$116,1,$Z$5)="Y",OR(Applicability!$D$116="",IFERROR(INDEX($B$4:$F$4,MATCH(Applicability!$D$116,$B$3:$F$3,0)),"N")="Y")),1,0))</f>
        <v>0</v>
      </c>
      <c r="AB122" s="22" t="str">
        <f aca="false">IF(AA122=1,SUM(AA$8:AA122),"")</f>
        <v/>
      </c>
    </row>
    <row r="123" customFormat="false" ht="15" hidden="false" customHeight="false" outlineLevel="0" collapsed="false">
      <c r="A123" s="6" t="str">
        <f aca="false">IF(116&gt;$B$5,"",116)</f>
        <v/>
      </c>
      <c r="B123" s="6" t="str">
        <f aca="false">IF(A123="","",INDEX($Z$8:$Z$148,MATCH(A123,$AB$8:$AB$148,0)))</f>
        <v/>
      </c>
      <c r="C123" s="6" t="str">
        <f aca="false">IF(B123="","",INDEX('Rule Matrix'!$B$2:$B$142,MATCH(B123,'Rule Matrix'!$A$2:$A$142,0)))</f>
        <v/>
      </c>
      <c r="D123" s="6" t="str">
        <f aca="false">IF(B123="","",INDEX('Rule Matrix'!$C$2:$C$142,MATCH(B123,'Rule Matrix'!$A$2:$A$142,0)))</f>
        <v/>
      </c>
      <c r="E123" s="6" t="str">
        <f aca="false">IF(B123="","",INDEX('Rule Matrix'!$D$2:$D$142,MATCH(B123,'Rule Matrix'!$A$2:$A$142,0)))</f>
        <v/>
      </c>
      <c r="F123" s="6" t="str">
        <f aca="false">IF(B123="","",INDEX('Rule Matrix'!$F$2:$F$142,MATCH(B123,'Rule Matrix'!$A$2:$A$142,0)))</f>
        <v/>
      </c>
      <c r="G123" s="6" t="str">
        <f aca="false">IF(B123="","",INDEX('Rule Matrix'!$G$2:$G$142,MATCH(B123,'Rule Matrix'!$A$2:$A$142,0)))</f>
        <v/>
      </c>
      <c r="H123" s="6" t="str">
        <f aca="false">IF(B123="","",INDEX('Rule Matrix'!$H$2:$H$142,MATCH(B123,'Rule Matrix'!$A$2:$A$142,0)))</f>
        <v/>
      </c>
      <c r="I123" s="6" t="str">
        <f aca="false">IF(B123="","",INDEX('Rule Matrix'!$J$2:$J$142,MATCH(B123,'Rule Matrix'!$A$2:$A$142,0)))</f>
        <v/>
      </c>
      <c r="Z123" s="22" t="str">
        <f aca="false">Applicability!A117</f>
        <v>L-21</v>
      </c>
      <c r="AA123" s="22" t="n">
        <f aca="false">IF($Z$5=0,0,IF(AND(INDEX(Applicability!$E$117:$O$117,1,$Z$5)="Y",OR(Applicability!$D$117="",IFERROR(INDEX($B$4:$F$4,MATCH(Applicability!$D$117,$B$3:$F$3,0)),"N")="Y")),1,0))</f>
        <v>0</v>
      </c>
      <c r="AB123" s="22" t="str">
        <f aca="false">IF(AA123=1,SUM(AA$8:AA123),"")</f>
        <v/>
      </c>
    </row>
    <row r="124" customFormat="false" ht="15" hidden="false" customHeight="false" outlineLevel="0" collapsed="false">
      <c r="A124" s="6" t="str">
        <f aca="false">IF(117&gt;$B$5,"",117)</f>
        <v/>
      </c>
      <c r="B124" s="6" t="str">
        <f aca="false">IF(A124="","",INDEX($Z$8:$Z$148,MATCH(A124,$AB$8:$AB$148,0)))</f>
        <v/>
      </c>
      <c r="C124" s="6" t="str">
        <f aca="false">IF(B124="","",INDEX('Rule Matrix'!$B$2:$B$142,MATCH(B124,'Rule Matrix'!$A$2:$A$142,0)))</f>
        <v/>
      </c>
      <c r="D124" s="6" t="str">
        <f aca="false">IF(B124="","",INDEX('Rule Matrix'!$C$2:$C$142,MATCH(B124,'Rule Matrix'!$A$2:$A$142,0)))</f>
        <v/>
      </c>
      <c r="E124" s="6" t="str">
        <f aca="false">IF(B124="","",INDEX('Rule Matrix'!$D$2:$D$142,MATCH(B124,'Rule Matrix'!$A$2:$A$142,0)))</f>
        <v/>
      </c>
      <c r="F124" s="6" t="str">
        <f aca="false">IF(B124="","",INDEX('Rule Matrix'!$F$2:$F$142,MATCH(B124,'Rule Matrix'!$A$2:$A$142,0)))</f>
        <v/>
      </c>
      <c r="G124" s="6" t="str">
        <f aca="false">IF(B124="","",INDEX('Rule Matrix'!$G$2:$G$142,MATCH(B124,'Rule Matrix'!$A$2:$A$142,0)))</f>
        <v/>
      </c>
      <c r="H124" s="6" t="str">
        <f aca="false">IF(B124="","",INDEX('Rule Matrix'!$H$2:$H$142,MATCH(B124,'Rule Matrix'!$A$2:$A$142,0)))</f>
        <v/>
      </c>
      <c r="I124" s="6" t="str">
        <f aca="false">IF(B124="","",INDEX('Rule Matrix'!$J$2:$J$142,MATCH(B124,'Rule Matrix'!$A$2:$A$142,0)))</f>
        <v/>
      </c>
      <c r="Z124" s="22" t="str">
        <f aca="false">Applicability!A118</f>
        <v>L-22</v>
      </c>
      <c r="AA124" s="22" t="n">
        <f aca="false">IF($Z$5=0,0,IF(AND(INDEX(Applicability!$E$118:$O$118,1,$Z$5)="Y",OR(Applicability!$D$118="",IFERROR(INDEX($B$4:$F$4,MATCH(Applicability!$D$118,$B$3:$F$3,0)),"N")="Y")),1,0))</f>
        <v>0</v>
      </c>
      <c r="AB124" s="22" t="str">
        <f aca="false">IF(AA124=1,SUM(AA$8:AA124),"")</f>
        <v/>
      </c>
    </row>
    <row r="125" customFormat="false" ht="15" hidden="false" customHeight="false" outlineLevel="0" collapsed="false">
      <c r="A125" s="6" t="str">
        <f aca="false">IF(118&gt;$B$5,"",118)</f>
        <v/>
      </c>
      <c r="B125" s="6" t="str">
        <f aca="false">IF(A125="","",INDEX($Z$8:$Z$148,MATCH(A125,$AB$8:$AB$148,0)))</f>
        <v/>
      </c>
      <c r="C125" s="6" t="str">
        <f aca="false">IF(B125="","",INDEX('Rule Matrix'!$B$2:$B$142,MATCH(B125,'Rule Matrix'!$A$2:$A$142,0)))</f>
        <v/>
      </c>
      <c r="D125" s="6" t="str">
        <f aca="false">IF(B125="","",INDEX('Rule Matrix'!$C$2:$C$142,MATCH(B125,'Rule Matrix'!$A$2:$A$142,0)))</f>
        <v/>
      </c>
      <c r="E125" s="6" t="str">
        <f aca="false">IF(B125="","",INDEX('Rule Matrix'!$D$2:$D$142,MATCH(B125,'Rule Matrix'!$A$2:$A$142,0)))</f>
        <v/>
      </c>
      <c r="F125" s="6" t="str">
        <f aca="false">IF(B125="","",INDEX('Rule Matrix'!$F$2:$F$142,MATCH(B125,'Rule Matrix'!$A$2:$A$142,0)))</f>
        <v/>
      </c>
      <c r="G125" s="6" t="str">
        <f aca="false">IF(B125="","",INDEX('Rule Matrix'!$G$2:$G$142,MATCH(B125,'Rule Matrix'!$A$2:$A$142,0)))</f>
        <v/>
      </c>
      <c r="H125" s="6" t="str">
        <f aca="false">IF(B125="","",INDEX('Rule Matrix'!$H$2:$H$142,MATCH(B125,'Rule Matrix'!$A$2:$A$142,0)))</f>
        <v/>
      </c>
      <c r="I125" s="6" t="str">
        <f aca="false">IF(B125="","",INDEX('Rule Matrix'!$J$2:$J$142,MATCH(B125,'Rule Matrix'!$A$2:$A$142,0)))</f>
        <v/>
      </c>
      <c r="Z125" s="22" t="str">
        <f aca="false">Applicability!A119</f>
        <v>L-23</v>
      </c>
      <c r="AA125" s="22" t="n">
        <f aca="false">IF($Z$5=0,0,IF(AND(INDEX(Applicability!$E$119:$O$119,1,$Z$5)="Y",OR(Applicability!$D$119="",IFERROR(INDEX($B$4:$F$4,MATCH(Applicability!$D$119,$B$3:$F$3,0)),"N")="Y")),1,0))</f>
        <v>0</v>
      </c>
      <c r="AB125" s="22" t="str">
        <f aca="false">IF(AA125=1,SUM(AA$8:AA125),"")</f>
        <v/>
      </c>
    </row>
    <row r="126" customFormat="false" ht="15" hidden="false" customHeight="false" outlineLevel="0" collapsed="false">
      <c r="A126" s="6" t="str">
        <f aca="false">IF(119&gt;$B$5,"",119)</f>
        <v/>
      </c>
      <c r="B126" s="6" t="str">
        <f aca="false">IF(A126="","",INDEX($Z$8:$Z$148,MATCH(A126,$AB$8:$AB$148,0)))</f>
        <v/>
      </c>
      <c r="C126" s="6" t="str">
        <f aca="false">IF(B126="","",INDEX('Rule Matrix'!$B$2:$B$142,MATCH(B126,'Rule Matrix'!$A$2:$A$142,0)))</f>
        <v/>
      </c>
      <c r="D126" s="6" t="str">
        <f aca="false">IF(B126="","",INDEX('Rule Matrix'!$C$2:$C$142,MATCH(B126,'Rule Matrix'!$A$2:$A$142,0)))</f>
        <v/>
      </c>
      <c r="E126" s="6" t="str">
        <f aca="false">IF(B126="","",INDEX('Rule Matrix'!$D$2:$D$142,MATCH(B126,'Rule Matrix'!$A$2:$A$142,0)))</f>
        <v/>
      </c>
      <c r="F126" s="6" t="str">
        <f aca="false">IF(B126="","",INDEX('Rule Matrix'!$F$2:$F$142,MATCH(B126,'Rule Matrix'!$A$2:$A$142,0)))</f>
        <v/>
      </c>
      <c r="G126" s="6" t="str">
        <f aca="false">IF(B126="","",INDEX('Rule Matrix'!$G$2:$G$142,MATCH(B126,'Rule Matrix'!$A$2:$A$142,0)))</f>
        <v/>
      </c>
      <c r="H126" s="6" t="str">
        <f aca="false">IF(B126="","",INDEX('Rule Matrix'!$H$2:$H$142,MATCH(B126,'Rule Matrix'!$A$2:$A$142,0)))</f>
        <v/>
      </c>
      <c r="I126" s="6" t="str">
        <f aca="false">IF(B126="","",INDEX('Rule Matrix'!$J$2:$J$142,MATCH(B126,'Rule Matrix'!$A$2:$A$142,0)))</f>
        <v/>
      </c>
      <c r="Z126" s="22" t="str">
        <f aca="false">Applicability!A120</f>
        <v>L-24</v>
      </c>
      <c r="AA126" s="22" t="n">
        <f aca="false">IF($Z$5=0,0,IF(AND(INDEX(Applicability!$E$120:$O$120,1,$Z$5)="Y",OR(Applicability!$D$120="",IFERROR(INDEX($B$4:$F$4,MATCH(Applicability!$D$120,$B$3:$F$3,0)),"N")="Y")),1,0))</f>
        <v>0</v>
      </c>
      <c r="AB126" s="22" t="str">
        <f aca="false">IF(AA126=1,SUM(AA$8:AA126),"")</f>
        <v/>
      </c>
    </row>
    <row r="127" customFormat="false" ht="15" hidden="false" customHeight="false" outlineLevel="0" collapsed="false">
      <c r="A127" s="6" t="str">
        <f aca="false">IF(120&gt;$B$5,"",120)</f>
        <v/>
      </c>
      <c r="B127" s="6" t="str">
        <f aca="false">IF(A127="","",INDEX($Z$8:$Z$148,MATCH(A127,$AB$8:$AB$148,0)))</f>
        <v/>
      </c>
      <c r="C127" s="6" t="str">
        <f aca="false">IF(B127="","",INDEX('Rule Matrix'!$B$2:$B$142,MATCH(B127,'Rule Matrix'!$A$2:$A$142,0)))</f>
        <v/>
      </c>
      <c r="D127" s="6" t="str">
        <f aca="false">IF(B127="","",INDEX('Rule Matrix'!$C$2:$C$142,MATCH(B127,'Rule Matrix'!$A$2:$A$142,0)))</f>
        <v/>
      </c>
      <c r="E127" s="6" t="str">
        <f aca="false">IF(B127="","",INDEX('Rule Matrix'!$D$2:$D$142,MATCH(B127,'Rule Matrix'!$A$2:$A$142,0)))</f>
        <v/>
      </c>
      <c r="F127" s="6" t="str">
        <f aca="false">IF(B127="","",INDEX('Rule Matrix'!$F$2:$F$142,MATCH(B127,'Rule Matrix'!$A$2:$A$142,0)))</f>
        <v/>
      </c>
      <c r="G127" s="6" t="str">
        <f aca="false">IF(B127="","",INDEX('Rule Matrix'!$G$2:$G$142,MATCH(B127,'Rule Matrix'!$A$2:$A$142,0)))</f>
        <v/>
      </c>
      <c r="H127" s="6" t="str">
        <f aca="false">IF(B127="","",INDEX('Rule Matrix'!$H$2:$H$142,MATCH(B127,'Rule Matrix'!$A$2:$A$142,0)))</f>
        <v/>
      </c>
      <c r="I127" s="6" t="str">
        <f aca="false">IF(B127="","",INDEX('Rule Matrix'!$J$2:$J$142,MATCH(B127,'Rule Matrix'!$A$2:$A$142,0)))</f>
        <v/>
      </c>
      <c r="Z127" s="22" t="str">
        <f aca="false">Applicability!A121</f>
        <v>L-25</v>
      </c>
      <c r="AA127" s="22" t="n">
        <f aca="false">IF($Z$5=0,0,IF(AND(INDEX(Applicability!$E$121:$O$121,1,$Z$5)="Y",OR(Applicability!$D$121="",IFERROR(INDEX($B$4:$F$4,MATCH(Applicability!$D$121,$B$3:$F$3,0)),"N")="Y")),1,0))</f>
        <v>0</v>
      </c>
      <c r="AB127" s="22" t="str">
        <f aca="false">IF(AA127=1,SUM(AA$8:AA127),"")</f>
        <v/>
      </c>
    </row>
    <row r="128" customFormat="false" ht="15" hidden="false" customHeight="false" outlineLevel="0" collapsed="false">
      <c r="A128" s="6" t="str">
        <f aca="false">IF(121&gt;$B$5,"",121)</f>
        <v/>
      </c>
      <c r="B128" s="6" t="str">
        <f aca="false">IF(A128="","",INDEX($Z$8:$Z$148,MATCH(A128,$AB$8:$AB$148,0)))</f>
        <v/>
      </c>
      <c r="C128" s="6" t="str">
        <f aca="false">IF(B128="","",INDEX('Rule Matrix'!$B$2:$B$142,MATCH(B128,'Rule Matrix'!$A$2:$A$142,0)))</f>
        <v/>
      </c>
      <c r="D128" s="6" t="str">
        <f aca="false">IF(B128="","",INDEX('Rule Matrix'!$C$2:$C$142,MATCH(B128,'Rule Matrix'!$A$2:$A$142,0)))</f>
        <v/>
      </c>
      <c r="E128" s="6" t="str">
        <f aca="false">IF(B128="","",INDEX('Rule Matrix'!$D$2:$D$142,MATCH(B128,'Rule Matrix'!$A$2:$A$142,0)))</f>
        <v/>
      </c>
      <c r="F128" s="6" t="str">
        <f aca="false">IF(B128="","",INDEX('Rule Matrix'!$F$2:$F$142,MATCH(B128,'Rule Matrix'!$A$2:$A$142,0)))</f>
        <v/>
      </c>
      <c r="G128" s="6" t="str">
        <f aca="false">IF(B128="","",INDEX('Rule Matrix'!$G$2:$G$142,MATCH(B128,'Rule Matrix'!$A$2:$A$142,0)))</f>
        <v/>
      </c>
      <c r="H128" s="6" t="str">
        <f aca="false">IF(B128="","",INDEX('Rule Matrix'!$H$2:$H$142,MATCH(B128,'Rule Matrix'!$A$2:$A$142,0)))</f>
        <v/>
      </c>
      <c r="I128" s="6" t="str">
        <f aca="false">IF(B128="","",INDEX('Rule Matrix'!$J$2:$J$142,MATCH(B128,'Rule Matrix'!$A$2:$A$142,0)))</f>
        <v/>
      </c>
      <c r="Z128" s="22" t="str">
        <f aca="false">Applicability!A122</f>
        <v>L-26</v>
      </c>
      <c r="AA128" s="22" t="n">
        <f aca="false">IF($Z$5=0,0,IF(AND(INDEX(Applicability!$E$122:$O$122,1,$Z$5)="Y",OR(Applicability!$D$122="",IFERROR(INDEX($B$4:$F$4,MATCH(Applicability!$D$122,$B$3:$F$3,0)),"N")="Y")),1,0))</f>
        <v>0</v>
      </c>
      <c r="AB128" s="22" t="str">
        <f aca="false">IF(AA128=1,SUM(AA$8:AA128),"")</f>
        <v/>
      </c>
    </row>
    <row r="129" customFormat="false" ht="15" hidden="false" customHeight="false" outlineLevel="0" collapsed="false">
      <c r="A129" s="6" t="str">
        <f aca="false">IF(122&gt;$B$5,"",122)</f>
        <v/>
      </c>
      <c r="B129" s="6" t="str">
        <f aca="false">IF(A129="","",INDEX($Z$8:$Z$148,MATCH(A129,$AB$8:$AB$148,0)))</f>
        <v/>
      </c>
      <c r="C129" s="6" t="str">
        <f aca="false">IF(B129="","",INDEX('Rule Matrix'!$B$2:$B$142,MATCH(B129,'Rule Matrix'!$A$2:$A$142,0)))</f>
        <v/>
      </c>
      <c r="D129" s="6" t="str">
        <f aca="false">IF(B129="","",INDEX('Rule Matrix'!$C$2:$C$142,MATCH(B129,'Rule Matrix'!$A$2:$A$142,0)))</f>
        <v/>
      </c>
      <c r="E129" s="6" t="str">
        <f aca="false">IF(B129="","",INDEX('Rule Matrix'!$D$2:$D$142,MATCH(B129,'Rule Matrix'!$A$2:$A$142,0)))</f>
        <v/>
      </c>
      <c r="F129" s="6" t="str">
        <f aca="false">IF(B129="","",INDEX('Rule Matrix'!$F$2:$F$142,MATCH(B129,'Rule Matrix'!$A$2:$A$142,0)))</f>
        <v/>
      </c>
      <c r="G129" s="6" t="str">
        <f aca="false">IF(B129="","",INDEX('Rule Matrix'!$G$2:$G$142,MATCH(B129,'Rule Matrix'!$A$2:$A$142,0)))</f>
        <v/>
      </c>
      <c r="H129" s="6" t="str">
        <f aca="false">IF(B129="","",INDEX('Rule Matrix'!$H$2:$H$142,MATCH(B129,'Rule Matrix'!$A$2:$A$142,0)))</f>
        <v/>
      </c>
      <c r="I129" s="6" t="str">
        <f aca="false">IF(B129="","",INDEX('Rule Matrix'!$J$2:$J$142,MATCH(B129,'Rule Matrix'!$A$2:$A$142,0)))</f>
        <v/>
      </c>
      <c r="Z129" s="22" t="str">
        <f aca="false">Applicability!A123</f>
        <v>L-27</v>
      </c>
      <c r="AA129" s="22" t="n">
        <f aca="false">IF($Z$5=0,0,IF(AND(INDEX(Applicability!$E$123:$O$123,1,$Z$5)="Y",OR(Applicability!$D$123="",IFERROR(INDEX($B$4:$F$4,MATCH(Applicability!$D$123,$B$3:$F$3,0)),"N")="Y")),1,0))</f>
        <v>0</v>
      </c>
      <c r="AB129" s="22" t="str">
        <f aca="false">IF(AA129=1,SUM(AA$8:AA129),"")</f>
        <v/>
      </c>
    </row>
    <row r="130" customFormat="false" ht="15" hidden="false" customHeight="false" outlineLevel="0" collapsed="false">
      <c r="A130" s="6" t="str">
        <f aca="false">IF(123&gt;$B$5,"",123)</f>
        <v/>
      </c>
      <c r="B130" s="6" t="str">
        <f aca="false">IF(A130="","",INDEX($Z$8:$Z$148,MATCH(A130,$AB$8:$AB$148,0)))</f>
        <v/>
      </c>
      <c r="C130" s="6" t="str">
        <f aca="false">IF(B130="","",INDEX('Rule Matrix'!$B$2:$B$142,MATCH(B130,'Rule Matrix'!$A$2:$A$142,0)))</f>
        <v/>
      </c>
      <c r="D130" s="6" t="str">
        <f aca="false">IF(B130="","",INDEX('Rule Matrix'!$C$2:$C$142,MATCH(B130,'Rule Matrix'!$A$2:$A$142,0)))</f>
        <v/>
      </c>
      <c r="E130" s="6" t="str">
        <f aca="false">IF(B130="","",INDEX('Rule Matrix'!$D$2:$D$142,MATCH(B130,'Rule Matrix'!$A$2:$A$142,0)))</f>
        <v/>
      </c>
      <c r="F130" s="6" t="str">
        <f aca="false">IF(B130="","",INDEX('Rule Matrix'!$F$2:$F$142,MATCH(B130,'Rule Matrix'!$A$2:$A$142,0)))</f>
        <v/>
      </c>
      <c r="G130" s="6" t="str">
        <f aca="false">IF(B130="","",INDEX('Rule Matrix'!$G$2:$G$142,MATCH(B130,'Rule Matrix'!$A$2:$A$142,0)))</f>
        <v/>
      </c>
      <c r="H130" s="6" t="str">
        <f aca="false">IF(B130="","",INDEX('Rule Matrix'!$H$2:$H$142,MATCH(B130,'Rule Matrix'!$A$2:$A$142,0)))</f>
        <v/>
      </c>
      <c r="I130" s="6" t="str">
        <f aca="false">IF(B130="","",INDEX('Rule Matrix'!$J$2:$J$142,MATCH(B130,'Rule Matrix'!$A$2:$A$142,0)))</f>
        <v/>
      </c>
      <c r="Z130" s="22" t="str">
        <f aca="false">Applicability!A124</f>
        <v>L-28</v>
      </c>
      <c r="AA130" s="22" t="n">
        <f aca="false">IF($Z$5=0,0,IF(AND(INDEX(Applicability!$E$124:$O$124,1,$Z$5)="Y",OR(Applicability!$D$124="",IFERROR(INDEX($B$4:$F$4,MATCH(Applicability!$D$124,$B$3:$F$3,0)),"N")="Y")),1,0))</f>
        <v>0</v>
      </c>
      <c r="AB130" s="22" t="str">
        <f aca="false">IF(AA130=1,SUM(AA$8:AA130),"")</f>
        <v/>
      </c>
    </row>
    <row r="131" customFormat="false" ht="15" hidden="false" customHeight="false" outlineLevel="0" collapsed="false">
      <c r="A131" s="6" t="str">
        <f aca="false">IF(124&gt;$B$5,"",124)</f>
        <v/>
      </c>
      <c r="B131" s="6" t="str">
        <f aca="false">IF(A131="","",INDEX($Z$8:$Z$148,MATCH(A131,$AB$8:$AB$148,0)))</f>
        <v/>
      </c>
      <c r="C131" s="6" t="str">
        <f aca="false">IF(B131="","",INDEX('Rule Matrix'!$B$2:$B$142,MATCH(B131,'Rule Matrix'!$A$2:$A$142,0)))</f>
        <v/>
      </c>
      <c r="D131" s="6" t="str">
        <f aca="false">IF(B131="","",INDEX('Rule Matrix'!$C$2:$C$142,MATCH(B131,'Rule Matrix'!$A$2:$A$142,0)))</f>
        <v/>
      </c>
      <c r="E131" s="6" t="str">
        <f aca="false">IF(B131="","",INDEX('Rule Matrix'!$D$2:$D$142,MATCH(B131,'Rule Matrix'!$A$2:$A$142,0)))</f>
        <v/>
      </c>
      <c r="F131" s="6" t="str">
        <f aca="false">IF(B131="","",INDEX('Rule Matrix'!$F$2:$F$142,MATCH(B131,'Rule Matrix'!$A$2:$A$142,0)))</f>
        <v/>
      </c>
      <c r="G131" s="6" t="str">
        <f aca="false">IF(B131="","",INDEX('Rule Matrix'!$G$2:$G$142,MATCH(B131,'Rule Matrix'!$A$2:$A$142,0)))</f>
        <v/>
      </c>
      <c r="H131" s="6" t="str">
        <f aca="false">IF(B131="","",INDEX('Rule Matrix'!$H$2:$H$142,MATCH(B131,'Rule Matrix'!$A$2:$A$142,0)))</f>
        <v/>
      </c>
      <c r="I131" s="6" t="str">
        <f aca="false">IF(B131="","",INDEX('Rule Matrix'!$J$2:$J$142,MATCH(B131,'Rule Matrix'!$A$2:$A$142,0)))</f>
        <v/>
      </c>
      <c r="Z131" s="22" t="str">
        <f aca="false">Applicability!A125</f>
        <v>L-29</v>
      </c>
      <c r="AA131" s="22" t="n">
        <f aca="false">IF($Z$5=0,0,IF(AND(INDEX(Applicability!$E$125:$O$125,1,$Z$5)="Y",OR(Applicability!$D$125="",IFERROR(INDEX($B$4:$F$4,MATCH(Applicability!$D$125,$B$3:$F$3,0)),"N")="Y")),1,0))</f>
        <v>0</v>
      </c>
      <c r="AB131" s="22" t="str">
        <f aca="false">IF(AA131=1,SUM(AA$8:AA131),"")</f>
        <v/>
      </c>
    </row>
    <row r="132" customFormat="false" ht="15" hidden="false" customHeight="false" outlineLevel="0" collapsed="false">
      <c r="A132" s="6" t="str">
        <f aca="false">IF(125&gt;$B$5,"",125)</f>
        <v/>
      </c>
      <c r="B132" s="6" t="str">
        <f aca="false">IF(A132="","",INDEX($Z$8:$Z$148,MATCH(A132,$AB$8:$AB$148,0)))</f>
        <v/>
      </c>
      <c r="C132" s="6" t="str">
        <f aca="false">IF(B132="","",INDEX('Rule Matrix'!$B$2:$B$142,MATCH(B132,'Rule Matrix'!$A$2:$A$142,0)))</f>
        <v/>
      </c>
      <c r="D132" s="6" t="str">
        <f aca="false">IF(B132="","",INDEX('Rule Matrix'!$C$2:$C$142,MATCH(B132,'Rule Matrix'!$A$2:$A$142,0)))</f>
        <v/>
      </c>
      <c r="E132" s="6" t="str">
        <f aca="false">IF(B132="","",INDEX('Rule Matrix'!$D$2:$D$142,MATCH(B132,'Rule Matrix'!$A$2:$A$142,0)))</f>
        <v/>
      </c>
      <c r="F132" s="6" t="str">
        <f aca="false">IF(B132="","",INDEX('Rule Matrix'!$F$2:$F$142,MATCH(B132,'Rule Matrix'!$A$2:$A$142,0)))</f>
        <v/>
      </c>
      <c r="G132" s="6" t="str">
        <f aca="false">IF(B132="","",INDEX('Rule Matrix'!$G$2:$G$142,MATCH(B132,'Rule Matrix'!$A$2:$A$142,0)))</f>
        <v/>
      </c>
      <c r="H132" s="6" t="str">
        <f aca="false">IF(B132="","",INDEX('Rule Matrix'!$H$2:$H$142,MATCH(B132,'Rule Matrix'!$A$2:$A$142,0)))</f>
        <v/>
      </c>
      <c r="I132" s="6" t="str">
        <f aca="false">IF(B132="","",INDEX('Rule Matrix'!$J$2:$J$142,MATCH(B132,'Rule Matrix'!$A$2:$A$142,0)))</f>
        <v/>
      </c>
      <c r="Z132" s="22" t="str">
        <f aca="false">Applicability!A126</f>
        <v>L-30</v>
      </c>
      <c r="AA132" s="22" t="n">
        <f aca="false">IF($Z$5=0,0,IF(AND(INDEX(Applicability!$E$126:$O$126,1,$Z$5)="Y",OR(Applicability!$D$126="",IFERROR(INDEX($B$4:$F$4,MATCH(Applicability!$D$126,$B$3:$F$3,0)),"N")="Y")),1,0))</f>
        <v>0</v>
      </c>
      <c r="AB132" s="22" t="str">
        <f aca="false">IF(AA132=1,SUM(AA$8:AA132),"")</f>
        <v/>
      </c>
    </row>
    <row r="133" customFormat="false" ht="15" hidden="false" customHeight="false" outlineLevel="0" collapsed="false">
      <c r="A133" s="6" t="str">
        <f aca="false">IF(126&gt;$B$5,"",126)</f>
        <v/>
      </c>
      <c r="B133" s="6" t="str">
        <f aca="false">IF(A133="","",INDEX($Z$8:$Z$148,MATCH(A133,$AB$8:$AB$148,0)))</f>
        <v/>
      </c>
      <c r="C133" s="6" t="str">
        <f aca="false">IF(B133="","",INDEX('Rule Matrix'!$B$2:$B$142,MATCH(B133,'Rule Matrix'!$A$2:$A$142,0)))</f>
        <v/>
      </c>
      <c r="D133" s="6" t="str">
        <f aca="false">IF(B133="","",INDEX('Rule Matrix'!$C$2:$C$142,MATCH(B133,'Rule Matrix'!$A$2:$A$142,0)))</f>
        <v/>
      </c>
      <c r="E133" s="6" t="str">
        <f aca="false">IF(B133="","",INDEX('Rule Matrix'!$D$2:$D$142,MATCH(B133,'Rule Matrix'!$A$2:$A$142,0)))</f>
        <v/>
      </c>
      <c r="F133" s="6" t="str">
        <f aca="false">IF(B133="","",INDEX('Rule Matrix'!$F$2:$F$142,MATCH(B133,'Rule Matrix'!$A$2:$A$142,0)))</f>
        <v/>
      </c>
      <c r="G133" s="6" t="str">
        <f aca="false">IF(B133="","",INDEX('Rule Matrix'!$G$2:$G$142,MATCH(B133,'Rule Matrix'!$A$2:$A$142,0)))</f>
        <v/>
      </c>
      <c r="H133" s="6" t="str">
        <f aca="false">IF(B133="","",INDEX('Rule Matrix'!$H$2:$H$142,MATCH(B133,'Rule Matrix'!$A$2:$A$142,0)))</f>
        <v/>
      </c>
      <c r="I133" s="6" t="str">
        <f aca="false">IF(B133="","",INDEX('Rule Matrix'!$J$2:$J$142,MATCH(B133,'Rule Matrix'!$A$2:$A$142,0)))</f>
        <v/>
      </c>
      <c r="Z133" s="22" t="str">
        <f aca="false">Applicability!A127</f>
        <v>L-31</v>
      </c>
      <c r="AA133" s="22" t="n">
        <f aca="false">IF($Z$5=0,0,IF(AND(INDEX(Applicability!$E$127:$O$127,1,$Z$5)="Y",OR(Applicability!$D$127="",IFERROR(INDEX($B$4:$F$4,MATCH(Applicability!$D$127,$B$3:$F$3,0)),"N")="Y")),1,0))</f>
        <v>0</v>
      </c>
      <c r="AB133" s="22" t="str">
        <f aca="false">IF(AA133=1,SUM(AA$8:AA133),"")</f>
        <v/>
      </c>
    </row>
    <row r="134" customFormat="false" ht="15" hidden="false" customHeight="false" outlineLevel="0" collapsed="false">
      <c r="A134" s="6" t="str">
        <f aca="false">IF(127&gt;$B$5,"",127)</f>
        <v/>
      </c>
      <c r="B134" s="6" t="str">
        <f aca="false">IF(A134="","",INDEX($Z$8:$Z$148,MATCH(A134,$AB$8:$AB$148,0)))</f>
        <v/>
      </c>
      <c r="C134" s="6" t="str">
        <f aca="false">IF(B134="","",INDEX('Rule Matrix'!$B$2:$B$142,MATCH(B134,'Rule Matrix'!$A$2:$A$142,0)))</f>
        <v/>
      </c>
      <c r="D134" s="6" t="str">
        <f aca="false">IF(B134="","",INDEX('Rule Matrix'!$C$2:$C$142,MATCH(B134,'Rule Matrix'!$A$2:$A$142,0)))</f>
        <v/>
      </c>
      <c r="E134" s="6" t="str">
        <f aca="false">IF(B134="","",INDEX('Rule Matrix'!$D$2:$D$142,MATCH(B134,'Rule Matrix'!$A$2:$A$142,0)))</f>
        <v/>
      </c>
      <c r="F134" s="6" t="str">
        <f aca="false">IF(B134="","",INDEX('Rule Matrix'!$F$2:$F$142,MATCH(B134,'Rule Matrix'!$A$2:$A$142,0)))</f>
        <v/>
      </c>
      <c r="G134" s="6" t="str">
        <f aca="false">IF(B134="","",INDEX('Rule Matrix'!$G$2:$G$142,MATCH(B134,'Rule Matrix'!$A$2:$A$142,0)))</f>
        <v/>
      </c>
      <c r="H134" s="6" t="str">
        <f aca="false">IF(B134="","",INDEX('Rule Matrix'!$H$2:$H$142,MATCH(B134,'Rule Matrix'!$A$2:$A$142,0)))</f>
        <v/>
      </c>
      <c r="I134" s="6" t="str">
        <f aca="false">IF(B134="","",INDEX('Rule Matrix'!$J$2:$J$142,MATCH(B134,'Rule Matrix'!$A$2:$A$142,0)))</f>
        <v/>
      </c>
      <c r="Z134" s="22" t="str">
        <f aca="false">Applicability!A128</f>
        <v>L-32</v>
      </c>
      <c r="AA134" s="22" t="n">
        <f aca="false">IF($Z$5=0,0,IF(AND(INDEX(Applicability!$E$128:$O$128,1,$Z$5)="Y",OR(Applicability!$D$128="",IFERROR(INDEX($B$4:$F$4,MATCH(Applicability!$D$128,$B$3:$F$3,0)),"N")="Y")),1,0))</f>
        <v>0</v>
      </c>
      <c r="AB134" s="22" t="str">
        <f aca="false">IF(AA134=1,SUM(AA$8:AA134),"")</f>
        <v/>
      </c>
    </row>
    <row r="135" customFormat="false" ht="15" hidden="false" customHeight="false" outlineLevel="0" collapsed="false">
      <c r="A135" s="6" t="str">
        <f aca="false">IF(128&gt;$B$5,"",128)</f>
        <v/>
      </c>
      <c r="B135" s="6" t="str">
        <f aca="false">IF(A135="","",INDEX($Z$8:$Z$148,MATCH(A135,$AB$8:$AB$148,0)))</f>
        <v/>
      </c>
      <c r="C135" s="6" t="str">
        <f aca="false">IF(B135="","",INDEX('Rule Matrix'!$B$2:$B$142,MATCH(B135,'Rule Matrix'!$A$2:$A$142,0)))</f>
        <v/>
      </c>
      <c r="D135" s="6" t="str">
        <f aca="false">IF(B135="","",INDEX('Rule Matrix'!$C$2:$C$142,MATCH(B135,'Rule Matrix'!$A$2:$A$142,0)))</f>
        <v/>
      </c>
      <c r="E135" s="6" t="str">
        <f aca="false">IF(B135="","",INDEX('Rule Matrix'!$D$2:$D$142,MATCH(B135,'Rule Matrix'!$A$2:$A$142,0)))</f>
        <v/>
      </c>
      <c r="F135" s="6" t="str">
        <f aca="false">IF(B135="","",INDEX('Rule Matrix'!$F$2:$F$142,MATCH(B135,'Rule Matrix'!$A$2:$A$142,0)))</f>
        <v/>
      </c>
      <c r="G135" s="6" t="str">
        <f aca="false">IF(B135="","",INDEX('Rule Matrix'!$G$2:$G$142,MATCH(B135,'Rule Matrix'!$A$2:$A$142,0)))</f>
        <v/>
      </c>
      <c r="H135" s="6" t="str">
        <f aca="false">IF(B135="","",INDEX('Rule Matrix'!$H$2:$H$142,MATCH(B135,'Rule Matrix'!$A$2:$A$142,0)))</f>
        <v/>
      </c>
      <c r="I135" s="6" t="str">
        <f aca="false">IF(B135="","",INDEX('Rule Matrix'!$J$2:$J$142,MATCH(B135,'Rule Matrix'!$A$2:$A$142,0)))</f>
        <v/>
      </c>
      <c r="Z135" s="22" t="str">
        <f aca="false">Applicability!A129</f>
        <v>L-33</v>
      </c>
      <c r="AA135" s="22" t="n">
        <f aca="false">IF($Z$5=0,0,IF(AND(INDEX(Applicability!$E$129:$O$129,1,$Z$5)="Y",OR(Applicability!$D$129="",IFERROR(INDEX($B$4:$F$4,MATCH(Applicability!$D$129,$B$3:$F$3,0)),"N")="Y")),1,0))</f>
        <v>0</v>
      </c>
      <c r="AB135" s="22" t="str">
        <f aca="false">IF(AA135=1,SUM(AA$8:AA135),"")</f>
        <v/>
      </c>
    </row>
    <row r="136" customFormat="false" ht="15" hidden="false" customHeight="false" outlineLevel="0" collapsed="false">
      <c r="A136" s="6" t="str">
        <f aca="false">IF(129&gt;$B$5,"",129)</f>
        <v/>
      </c>
      <c r="B136" s="6" t="str">
        <f aca="false">IF(A136="","",INDEX($Z$8:$Z$148,MATCH(A136,$AB$8:$AB$148,0)))</f>
        <v/>
      </c>
      <c r="C136" s="6" t="str">
        <f aca="false">IF(B136="","",INDEX('Rule Matrix'!$B$2:$B$142,MATCH(B136,'Rule Matrix'!$A$2:$A$142,0)))</f>
        <v/>
      </c>
      <c r="D136" s="6" t="str">
        <f aca="false">IF(B136="","",INDEX('Rule Matrix'!$C$2:$C$142,MATCH(B136,'Rule Matrix'!$A$2:$A$142,0)))</f>
        <v/>
      </c>
      <c r="E136" s="6" t="str">
        <f aca="false">IF(B136="","",INDEX('Rule Matrix'!$D$2:$D$142,MATCH(B136,'Rule Matrix'!$A$2:$A$142,0)))</f>
        <v/>
      </c>
      <c r="F136" s="6" t="str">
        <f aca="false">IF(B136="","",INDEX('Rule Matrix'!$F$2:$F$142,MATCH(B136,'Rule Matrix'!$A$2:$A$142,0)))</f>
        <v/>
      </c>
      <c r="G136" s="6" t="str">
        <f aca="false">IF(B136="","",INDEX('Rule Matrix'!$G$2:$G$142,MATCH(B136,'Rule Matrix'!$A$2:$A$142,0)))</f>
        <v/>
      </c>
      <c r="H136" s="6" t="str">
        <f aca="false">IF(B136="","",INDEX('Rule Matrix'!$H$2:$H$142,MATCH(B136,'Rule Matrix'!$A$2:$A$142,0)))</f>
        <v/>
      </c>
      <c r="I136" s="6" t="str">
        <f aca="false">IF(B136="","",INDEX('Rule Matrix'!$J$2:$J$142,MATCH(B136,'Rule Matrix'!$A$2:$A$142,0)))</f>
        <v/>
      </c>
      <c r="Z136" s="22" t="str">
        <f aca="false">Applicability!A130</f>
        <v>L-34</v>
      </c>
      <c r="AA136" s="22" t="n">
        <f aca="false">IF($Z$5=0,0,IF(AND(INDEX(Applicability!$E$130:$O$130,1,$Z$5)="Y",OR(Applicability!$D$130="",IFERROR(INDEX($B$4:$F$4,MATCH(Applicability!$D$130,$B$3:$F$3,0)),"N")="Y")),1,0))</f>
        <v>0</v>
      </c>
      <c r="AB136" s="22" t="str">
        <f aca="false">IF(AA136=1,SUM(AA$8:AA136),"")</f>
        <v/>
      </c>
    </row>
    <row r="137" customFormat="false" ht="15" hidden="false" customHeight="false" outlineLevel="0" collapsed="false">
      <c r="A137" s="6" t="str">
        <f aca="false">IF(130&gt;$B$5,"",130)</f>
        <v/>
      </c>
      <c r="B137" s="6" t="str">
        <f aca="false">IF(A137="","",INDEX($Z$8:$Z$148,MATCH(A137,$AB$8:$AB$148,0)))</f>
        <v/>
      </c>
      <c r="C137" s="6" t="str">
        <f aca="false">IF(B137="","",INDEX('Rule Matrix'!$B$2:$B$142,MATCH(B137,'Rule Matrix'!$A$2:$A$142,0)))</f>
        <v/>
      </c>
      <c r="D137" s="6" t="str">
        <f aca="false">IF(B137="","",INDEX('Rule Matrix'!$C$2:$C$142,MATCH(B137,'Rule Matrix'!$A$2:$A$142,0)))</f>
        <v/>
      </c>
      <c r="E137" s="6" t="str">
        <f aca="false">IF(B137="","",INDEX('Rule Matrix'!$D$2:$D$142,MATCH(B137,'Rule Matrix'!$A$2:$A$142,0)))</f>
        <v/>
      </c>
      <c r="F137" s="6" t="str">
        <f aca="false">IF(B137="","",INDEX('Rule Matrix'!$F$2:$F$142,MATCH(B137,'Rule Matrix'!$A$2:$A$142,0)))</f>
        <v/>
      </c>
      <c r="G137" s="6" t="str">
        <f aca="false">IF(B137="","",INDEX('Rule Matrix'!$G$2:$G$142,MATCH(B137,'Rule Matrix'!$A$2:$A$142,0)))</f>
        <v/>
      </c>
      <c r="H137" s="6" t="str">
        <f aca="false">IF(B137="","",INDEX('Rule Matrix'!$H$2:$H$142,MATCH(B137,'Rule Matrix'!$A$2:$A$142,0)))</f>
        <v/>
      </c>
      <c r="I137" s="6" t="str">
        <f aca="false">IF(B137="","",INDEX('Rule Matrix'!$J$2:$J$142,MATCH(B137,'Rule Matrix'!$A$2:$A$142,0)))</f>
        <v/>
      </c>
      <c r="Z137" s="22" t="str">
        <f aca="false">Applicability!A131</f>
        <v>L-35</v>
      </c>
      <c r="AA137" s="22" t="n">
        <f aca="false">IF($Z$5=0,0,IF(AND(INDEX(Applicability!$E$131:$O$131,1,$Z$5)="Y",OR(Applicability!$D$131="",IFERROR(INDEX($B$4:$F$4,MATCH(Applicability!$D$131,$B$3:$F$3,0)),"N")="Y")),1,0))</f>
        <v>0</v>
      </c>
      <c r="AB137" s="22" t="str">
        <f aca="false">IF(AA137=1,SUM(AA$8:AA137),"")</f>
        <v/>
      </c>
    </row>
    <row r="138" customFormat="false" ht="15" hidden="false" customHeight="false" outlineLevel="0" collapsed="false">
      <c r="A138" s="6" t="str">
        <f aca="false">IF(131&gt;$B$5,"",131)</f>
        <v/>
      </c>
      <c r="B138" s="6" t="str">
        <f aca="false">IF(A138="","",INDEX($Z$8:$Z$148,MATCH(A138,$AB$8:$AB$148,0)))</f>
        <v/>
      </c>
      <c r="C138" s="6" t="str">
        <f aca="false">IF(B138="","",INDEX('Rule Matrix'!$B$2:$B$142,MATCH(B138,'Rule Matrix'!$A$2:$A$142,0)))</f>
        <v/>
      </c>
      <c r="D138" s="6" t="str">
        <f aca="false">IF(B138="","",INDEX('Rule Matrix'!$C$2:$C$142,MATCH(B138,'Rule Matrix'!$A$2:$A$142,0)))</f>
        <v/>
      </c>
      <c r="E138" s="6" t="str">
        <f aca="false">IF(B138="","",INDEX('Rule Matrix'!$D$2:$D$142,MATCH(B138,'Rule Matrix'!$A$2:$A$142,0)))</f>
        <v/>
      </c>
      <c r="F138" s="6" t="str">
        <f aca="false">IF(B138="","",INDEX('Rule Matrix'!$F$2:$F$142,MATCH(B138,'Rule Matrix'!$A$2:$A$142,0)))</f>
        <v/>
      </c>
      <c r="G138" s="6" t="str">
        <f aca="false">IF(B138="","",INDEX('Rule Matrix'!$G$2:$G$142,MATCH(B138,'Rule Matrix'!$A$2:$A$142,0)))</f>
        <v/>
      </c>
      <c r="H138" s="6" t="str">
        <f aca="false">IF(B138="","",INDEX('Rule Matrix'!$H$2:$H$142,MATCH(B138,'Rule Matrix'!$A$2:$A$142,0)))</f>
        <v/>
      </c>
      <c r="I138" s="6" t="str">
        <f aca="false">IF(B138="","",INDEX('Rule Matrix'!$J$2:$J$142,MATCH(B138,'Rule Matrix'!$A$2:$A$142,0)))</f>
        <v/>
      </c>
      <c r="Z138" s="22" t="str">
        <f aca="false">Applicability!A132</f>
        <v>L-36</v>
      </c>
      <c r="AA138" s="22" t="n">
        <f aca="false">IF($Z$5=0,0,IF(AND(INDEX(Applicability!$E$132:$O$132,1,$Z$5)="Y",OR(Applicability!$D$132="",IFERROR(INDEX($B$4:$F$4,MATCH(Applicability!$D$132,$B$3:$F$3,0)),"N")="Y")),1,0))</f>
        <v>0</v>
      </c>
      <c r="AB138" s="22" t="str">
        <f aca="false">IF(AA138=1,SUM(AA$8:AA138),"")</f>
        <v/>
      </c>
    </row>
    <row r="139" customFormat="false" ht="15" hidden="false" customHeight="false" outlineLevel="0" collapsed="false">
      <c r="A139" s="6" t="str">
        <f aca="false">IF(132&gt;$B$5,"",132)</f>
        <v/>
      </c>
      <c r="B139" s="6" t="str">
        <f aca="false">IF(A139="","",INDEX($Z$8:$Z$148,MATCH(A139,$AB$8:$AB$148,0)))</f>
        <v/>
      </c>
      <c r="C139" s="6" t="str">
        <f aca="false">IF(B139="","",INDEX('Rule Matrix'!$B$2:$B$142,MATCH(B139,'Rule Matrix'!$A$2:$A$142,0)))</f>
        <v/>
      </c>
      <c r="D139" s="6" t="str">
        <f aca="false">IF(B139="","",INDEX('Rule Matrix'!$C$2:$C$142,MATCH(B139,'Rule Matrix'!$A$2:$A$142,0)))</f>
        <v/>
      </c>
      <c r="E139" s="6" t="str">
        <f aca="false">IF(B139="","",INDEX('Rule Matrix'!$D$2:$D$142,MATCH(B139,'Rule Matrix'!$A$2:$A$142,0)))</f>
        <v/>
      </c>
      <c r="F139" s="6" t="str">
        <f aca="false">IF(B139="","",INDEX('Rule Matrix'!$F$2:$F$142,MATCH(B139,'Rule Matrix'!$A$2:$A$142,0)))</f>
        <v/>
      </c>
      <c r="G139" s="6" t="str">
        <f aca="false">IF(B139="","",INDEX('Rule Matrix'!$G$2:$G$142,MATCH(B139,'Rule Matrix'!$A$2:$A$142,0)))</f>
        <v/>
      </c>
      <c r="H139" s="6" t="str">
        <f aca="false">IF(B139="","",INDEX('Rule Matrix'!$H$2:$H$142,MATCH(B139,'Rule Matrix'!$A$2:$A$142,0)))</f>
        <v/>
      </c>
      <c r="I139" s="6" t="str">
        <f aca="false">IF(B139="","",INDEX('Rule Matrix'!$J$2:$J$142,MATCH(B139,'Rule Matrix'!$A$2:$A$142,0)))</f>
        <v/>
      </c>
      <c r="Z139" s="22" t="str">
        <f aca="false">Applicability!A133</f>
        <v>L-37</v>
      </c>
      <c r="AA139" s="22" t="n">
        <f aca="false">IF($Z$5=0,0,IF(AND(INDEX(Applicability!$E$133:$O$133,1,$Z$5)="Y",OR(Applicability!$D$133="",IFERROR(INDEX($B$4:$F$4,MATCH(Applicability!$D$133,$B$3:$F$3,0)),"N")="Y")),1,0))</f>
        <v>0</v>
      </c>
      <c r="AB139" s="22" t="str">
        <f aca="false">IF(AA139=1,SUM(AA$8:AA139),"")</f>
        <v/>
      </c>
    </row>
    <row r="140" customFormat="false" ht="15" hidden="false" customHeight="false" outlineLevel="0" collapsed="false">
      <c r="A140" s="6" t="str">
        <f aca="false">IF(133&gt;$B$5,"",133)</f>
        <v/>
      </c>
      <c r="B140" s="6" t="str">
        <f aca="false">IF(A140="","",INDEX($Z$8:$Z$148,MATCH(A140,$AB$8:$AB$148,0)))</f>
        <v/>
      </c>
      <c r="C140" s="6" t="str">
        <f aca="false">IF(B140="","",INDEX('Rule Matrix'!$B$2:$B$142,MATCH(B140,'Rule Matrix'!$A$2:$A$142,0)))</f>
        <v/>
      </c>
      <c r="D140" s="6" t="str">
        <f aca="false">IF(B140="","",INDEX('Rule Matrix'!$C$2:$C$142,MATCH(B140,'Rule Matrix'!$A$2:$A$142,0)))</f>
        <v/>
      </c>
      <c r="E140" s="6" t="str">
        <f aca="false">IF(B140="","",INDEX('Rule Matrix'!$D$2:$D$142,MATCH(B140,'Rule Matrix'!$A$2:$A$142,0)))</f>
        <v/>
      </c>
      <c r="F140" s="6" t="str">
        <f aca="false">IF(B140="","",INDEX('Rule Matrix'!$F$2:$F$142,MATCH(B140,'Rule Matrix'!$A$2:$A$142,0)))</f>
        <v/>
      </c>
      <c r="G140" s="6" t="str">
        <f aca="false">IF(B140="","",INDEX('Rule Matrix'!$G$2:$G$142,MATCH(B140,'Rule Matrix'!$A$2:$A$142,0)))</f>
        <v/>
      </c>
      <c r="H140" s="6" t="str">
        <f aca="false">IF(B140="","",INDEX('Rule Matrix'!$H$2:$H$142,MATCH(B140,'Rule Matrix'!$A$2:$A$142,0)))</f>
        <v/>
      </c>
      <c r="I140" s="6" t="str">
        <f aca="false">IF(B140="","",INDEX('Rule Matrix'!$J$2:$J$142,MATCH(B140,'Rule Matrix'!$A$2:$A$142,0)))</f>
        <v/>
      </c>
      <c r="Z140" s="22" t="str">
        <f aca="false">Applicability!A134</f>
        <v>L-38</v>
      </c>
      <c r="AA140" s="22" t="n">
        <f aca="false">IF($Z$5=0,0,IF(AND(INDEX(Applicability!$E$134:$O$134,1,$Z$5)="Y",OR(Applicability!$D$134="",IFERROR(INDEX($B$4:$F$4,MATCH(Applicability!$D$134,$B$3:$F$3,0)),"N")="Y")),1,0))</f>
        <v>0</v>
      </c>
      <c r="AB140" s="22" t="str">
        <f aca="false">IF(AA140=1,SUM(AA$8:AA140),"")</f>
        <v/>
      </c>
    </row>
    <row r="141" customFormat="false" ht="15" hidden="false" customHeight="false" outlineLevel="0" collapsed="false">
      <c r="A141" s="6" t="str">
        <f aca="false">IF(134&gt;$B$5,"",134)</f>
        <v/>
      </c>
      <c r="B141" s="6" t="str">
        <f aca="false">IF(A141="","",INDEX($Z$8:$Z$148,MATCH(A141,$AB$8:$AB$148,0)))</f>
        <v/>
      </c>
      <c r="C141" s="6" t="str">
        <f aca="false">IF(B141="","",INDEX('Rule Matrix'!$B$2:$B$142,MATCH(B141,'Rule Matrix'!$A$2:$A$142,0)))</f>
        <v/>
      </c>
      <c r="D141" s="6" t="str">
        <f aca="false">IF(B141="","",INDEX('Rule Matrix'!$C$2:$C$142,MATCH(B141,'Rule Matrix'!$A$2:$A$142,0)))</f>
        <v/>
      </c>
      <c r="E141" s="6" t="str">
        <f aca="false">IF(B141="","",INDEX('Rule Matrix'!$D$2:$D$142,MATCH(B141,'Rule Matrix'!$A$2:$A$142,0)))</f>
        <v/>
      </c>
      <c r="F141" s="6" t="str">
        <f aca="false">IF(B141="","",INDEX('Rule Matrix'!$F$2:$F$142,MATCH(B141,'Rule Matrix'!$A$2:$A$142,0)))</f>
        <v/>
      </c>
      <c r="G141" s="6" t="str">
        <f aca="false">IF(B141="","",INDEX('Rule Matrix'!$G$2:$G$142,MATCH(B141,'Rule Matrix'!$A$2:$A$142,0)))</f>
        <v/>
      </c>
      <c r="H141" s="6" t="str">
        <f aca="false">IF(B141="","",INDEX('Rule Matrix'!$H$2:$H$142,MATCH(B141,'Rule Matrix'!$A$2:$A$142,0)))</f>
        <v/>
      </c>
      <c r="I141" s="6" t="str">
        <f aca="false">IF(B141="","",INDEX('Rule Matrix'!$J$2:$J$142,MATCH(B141,'Rule Matrix'!$A$2:$A$142,0)))</f>
        <v/>
      </c>
      <c r="Z141" s="22" t="str">
        <f aca="false">Applicability!A135</f>
        <v>L-39</v>
      </c>
      <c r="AA141" s="22" t="n">
        <f aca="false">IF($Z$5=0,0,IF(AND(INDEX(Applicability!$E$135:$O$135,1,$Z$5)="Y",OR(Applicability!$D$135="",IFERROR(INDEX($B$4:$F$4,MATCH(Applicability!$D$135,$B$3:$F$3,0)),"N")="Y")),1,0))</f>
        <v>0</v>
      </c>
      <c r="AB141" s="22" t="str">
        <f aca="false">IF(AA141=1,SUM(AA$8:AA141),"")</f>
        <v/>
      </c>
    </row>
    <row r="142" customFormat="false" ht="15" hidden="false" customHeight="false" outlineLevel="0" collapsed="false">
      <c r="A142" s="6" t="str">
        <f aca="false">IF(135&gt;$B$5,"",135)</f>
        <v/>
      </c>
      <c r="B142" s="6" t="str">
        <f aca="false">IF(A142="","",INDEX($Z$8:$Z$148,MATCH(A142,$AB$8:$AB$148,0)))</f>
        <v/>
      </c>
      <c r="C142" s="6" t="str">
        <f aca="false">IF(B142="","",INDEX('Rule Matrix'!$B$2:$B$142,MATCH(B142,'Rule Matrix'!$A$2:$A$142,0)))</f>
        <v/>
      </c>
      <c r="D142" s="6" t="str">
        <f aca="false">IF(B142="","",INDEX('Rule Matrix'!$C$2:$C$142,MATCH(B142,'Rule Matrix'!$A$2:$A$142,0)))</f>
        <v/>
      </c>
      <c r="E142" s="6" t="str">
        <f aca="false">IF(B142="","",INDEX('Rule Matrix'!$D$2:$D$142,MATCH(B142,'Rule Matrix'!$A$2:$A$142,0)))</f>
        <v/>
      </c>
      <c r="F142" s="6" t="str">
        <f aca="false">IF(B142="","",INDEX('Rule Matrix'!$F$2:$F$142,MATCH(B142,'Rule Matrix'!$A$2:$A$142,0)))</f>
        <v/>
      </c>
      <c r="G142" s="6" t="str">
        <f aca="false">IF(B142="","",INDEX('Rule Matrix'!$G$2:$G$142,MATCH(B142,'Rule Matrix'!$A$2:$A$142,0)))</f>
        <v/>
      </c>
      <c r="H142" s="6" t="str">
        <f aca="false">IF(B142="","",INDEX('Rule Matrix'!$H$2:$H$142,MATCH(B142,'Rule Matrix'!$A$2:$A$142,0)))</f>
        <v/>
      </c>
      <c r="I142" s="6" t="str">
        <f aca="false">IF(B142="","",INDEX('Rule Matrix'!$J$2:$J$142,MATCH(B142,'Rule Matrix'!$A$2:$A$142,0)))</f>
        <v/>
      </c>
      <c r="Z142" s="22" t="str">
        <f aca="false">Applicability!A136</f>
        <v>L-40</v>
      </c>
      <c r="AA142" s="22" t="n">
        <f aca="false">IF($Z$5=0,0,IF(AND(INDEX(Applicability!$E$136:$O$136,1,$Z$5)="Y",OR(Applicability!$D$136="",IFERROR(INDEX($B$4:$F$4,MATCH(Applicability!$D$136,$B$3:$F$3,0)),"N")="Y")),1,0))</f>
        <v>0</v>
      </c>
      <c r="AB142" s="22" t="str">
        <f aca="false">IF(AA142=1,SUM(AA$8:AA142),"")</f>
        <v/>
      </c>
    </row>
    <row r="143" customFormat="false" ht="15" hidden="false" customHeight="false" outlineLevel="0" collapsed="false">
      <c r="A143" s="6" t="str">
        <f aca="false">IF(136&gt;$B$5,"",136)</f>
        <v/>
      </c>
      <c r="B143" s="6" t="str">
        <f aca="false">IF(A143="","",INDEX($Z$8:$Z$148,MATCH(A143,$AB$8:$AB$148,0)))</f>
        <v/>
      </c>
      <c r="C143" s="6" t="str">
        <f aca="false">IF(B143="","",INDEX('Rule Matrix'!$B$2:$B$142,MATCH(B143,'Rule Matrix'!$A$2:$A$142,0)))</f>
        <v/>
      </c>
      <c r="D143" s="6" t="str">
        <f aca="false">IF(B143="","",INDEX('Rule Matrix'!$C$2:$C$142,MATCH(B143,'Rule Matrix'!$A$2:$A$142,0)))</f>
        <v/>
      </c>
      <c r="E143" s="6" t="str">
        <f aca="false">IF(B143="","",INDEX('Rule Matrix'!$D$2:$D$142,MATCH(B143,'Rule Matrix'!$A$2:$A$142,0)))</f>
        <v/>
      </c>
      <c r="F143" s="6" t="str">
        <f aca="false">IF(B143="","",INDEX('Rule Matrix'!$F$2:$F$142,MATCH(B143,'Rule Matrix'!$A$2:$A$142,0)))</f>
        <v/>
      </c>
      <c r="G143" s="6" t="str">
        <f aca="false">IF(B143="","",INDEX('Rule Matrix'!$G$2:$G$142,MATCH(B143,'Rule Matrix'!$A$2:$A$142,0)))</f>
        <v/>
      </c>
      <c r="H143" s="6" t="str">
        <f aca="false">IF(B143="","",INDEX('Rule Matrix'!$H$2:$H$142,MATCH(B143,'Rule Matrix'!$A$2:$A$142,0)))</f>
        <v/>
      </c>
      <c r="I143" s="6" t="str">
        <f aca="false">IF(B143="","",INDEX('Rule Matrix'!$J$2:$J$142,MATCH(B143,'Rule Matrix'!$A$2:$A$142,0)))</f>
        <v/>
      </c>
      <c r="Z143" s="22" t="str">
        <f aca="false">Applicability!A137</f>
        <v>L-41</v>
      </c>
      <c r="AA143" s="22" t="n">
        <f aca="false">IF($Z$5=0,0,IF(AND(INDEX(Applicability!$E$137:$O$137,1,$Z$5)="Y",OR(Applicability!$D$137="",IFERROR(INDEX($B$4:$F$4,MATCH(Applicability!$D$137,$B$3:$F$3,0)),"N")="Y")),1,0))</f>
        <v>0</v>
      </c>
      <c r="AB143" s="22" t="str">
        <f aca="false">IF(AA143=1,SUM(AA$8:AA143),"")</f>
        <v/>
      </c>
    </row>
    <row r="144" customFormat="false" ht="15" hidden="false" customHeight="false" outlineLevel="0" collapsed="false">
      <c r="A144" s="6" t="str">
        <f aca="false">IF(137&gt;$B$5,"",137)</f>
        <v/>
      </c>
      <c r="B144" s="6" t="str">
        <f aca="false">IF(A144="","",INDEX($Z$8:$Z$148,MATCH(A144,$AB$8:$AB$148,0)))</f>
        <v/>
      </c>
      <c r="C144" s="6" t="str">
        <f aca="false">IF(B144="","",INDEX('Rule Matrix'!$B$2:$B$142,MATCH(B144,'Rule Matrix'!$A$2:$A$142,0)))</f>
        <v/>
      </c>
      <c r="D144" s="6" t="str">
        <f aca="false">IF(B144="","",INDEX('Rule Matrix'!$C$2:$C$142,MATCH(B144,'Rule Matrix'!$A$2:$A$142,0)))</f>
        <v/>
      </c>
      <c r="E144" s="6" t="str">
        <f aca="false">IF(B144="","",INDEX('Rule Matrix'!$D$2:$D$142,MATCH(B144,'Rule Matrix'!$A$2:$A$142,0)))</f>
        <v/>
      </c>
      <c r="F144" s="6" t="str">
        <f aca="false">IF(B144="","",INDEX('Rule Matrix'!$F$2:$F$142,MATCH(B144,'Rule Matrix'!$A$2:$A$142,0)))</f>
        <v/>
      </c>
      <c r="G144" s="6" t="str">
        <f aca="false">IF(B144="","",INDEX('Rule Matrix'!$G$2:$G$142,MATCH(B144,'Rule Matrix'!$A$2:$A$142,0)))</f>
        <v/>
      </c>
      <c r="H144" s="6" t="str">
        <f aca="false">IF(B144="","",INDEX('Rule Matrix'!$H$2:$H$142,MATCH(B144,'Rule Matrix'!$A$2:$A$142,0)))</f>
        <v/>
      </c>
      <c r="I144" s="6" t="str">
        <f aca="false">IF(B144="","",INDEX('Rule Matrix'!$J$2:$J$142,MATCH(B144,'Rule Matrix'!$A$2:$A$142,0)))</f>
        <v/>
      </c>
      <c r="Z144" s="22" t="str">
        <f aca="false">Applicability!A138</f>
        <v>L-42</v>
      </c>
      <c r="AA144" s="22" t="n">
        <f aca="false">IF($Z$5=0,0,IF(AND(INDEX(Applicability!$E$138:$O$138,1,$Z$5)="Y",OR(Applicability!$D$138="",IFERROR(INDEX($B$4:$F$4,MATCH(Applicability!$D$138,$B$3:$F$3,0)),"N")="Y")),1,0))</f>
        <v>0</v>
      </c>
      <c r="AB144" s="22" t="str">
        <f aca="false">IF(AA144=1,SUM(AA$8:AA144),"")</f>
        <v/>
      </c>
    </row>
    <row r="145" customFormat="false" ht="15" hidden="false" customHeight="false" outlineLevel="0" collapsed="false">
      <c r="A145" s="6" t="str">
        <f aca="false">IF(138&gt;$B$5,"",138)</f>
        <v/>
      </c>
      <c r="B145" s="6" t="str">
        <f aca="false">IF(A145="","",INDEX($Z$8:$Z$148,MATCH(A145,$AB$8:$AB$148,0)))</f>
        <v/>
      </c>
      <c r="C145" s="6" t="str">
        <f aca="false">IF(B145="","",INDEX('Rule Matrix'!$B$2:$B$142,MATCH(B145,'Rule Matrix'!$A$2:$A$142,0)))</f>
        <v/>
      </c>
      <c r="D145" s="6" t="str">
        <f aca="false">IF(B145="","",INDEX('Rule Matrix'!$C$2:$C$142,MATCH(B145,'Rule Matrix'!$A$2:$A$142,0)))</f>
        <v/>
      </c>
      <c r="E145" s="6" t="str">
        <f aca="false">IF(B145="","",INDEX('Rule Matrix'!$D$2:$D$142,MATCH(B145,'Rule Matrix'!$A$2:$A$142,0)))</f>
        <v/>
      </c>
      <c r="F145" s="6" t="str">
        <f aca="false">IF(B145="","",INDEX('Rule Matrix'!$F$2:$F$142,MATCH(B145,'Rule Matrix'!$A$2:$A$142,0)))</f>
        <v/>
      </c>
      <c r="G145" s="6" t="str">
        <f aca="false">IF(B145="","",INDEX('Rule Matrix'!$G$2:$G$142,MATCH(B145,'Rule Matrix'!$A$2:$A$142,0)))</f>
        <v/>
      </c>
      <c r="H145" s="6" t="str">
        <f aca="false">IF(B145="","",INDEX('Rule Matrix'!$H$2:$H$142,MATCH(B145,'Rule Matrix'!$A$2:$A$142,0)))</f>
        <v/>
      </c>
      <c r="I145" s="6" t="str">
        <f aca="false">IF(B145="","",INDEX('Rule Matrix'!$J$2:$J$142,MATCH(B145,'Rule Matrix'!$A$2:$A$142,0)))</f>
        <v/>
      </c>
      <c r="Z145" s="22" t="str">
        <f aca="false">Applicability!A139</f>
        <v>L-43</v>
      </c>
      <c r="AA145" s="22" t="n">
        <f aca="false">IF($Z$5=0,0,IF(AND(INDEX(Applicability!$E$139:$O$139,1,$Z$5)="Y",OR(Applicability!$D$139="",IFERROR(INDEX($B$4:$F$4,MATCH(Applicability!$D$139,$B$3:$F$3,0)),"N")="Y")),1,0))</f>
        <v>0</v>
      </c>
      <c r="AB145" s="22" t="str">
        <f aca="false">IF(AA145=1,SUM(AA$8:AA145),"")</f>
        <v/>
      </c>
    </row>
    <row r="146" customFormat="false" ht="15" hidden="false" customHeight="false" outlineLevel="0" collapsed="false">
      <c r="A146" s="6" t="str">
        <f aca="false">IF(139&gt;$B$5,"",139)</f>
        <v/>
      </c>
      <c r="B146" s="6" t="str">
        <f aca="false">IF(A146="","",INDEX($Z$8:$Z$148,MATCH(A146,$AB$8:$AB$148,0)))</f>
        <v/>
      </c>
      <c r="C146" s="6" t="str">
        <f aca="false">IF(B146="","",INDEX('Rule Matrix'!$B$2:$B$142,MATCH(B146,'Rule Matrix'!$A$2:$A$142,0)))</f>
        <v/>
      </c>
      <c r="D146" s="6" t="str">
        <f aca="false">IF(B146="","",INDEX('Rule Matrix'!$C$2:$C$142,MATCH(B146,'Rule Matrix'!$A$2:$A$142,0)))</f>
        <v/>
      </c>
      <c r="E146" s="6" t="str">
        <f aca="false">IF(B146="","",INDEX('Rule Matrix'!$D$2:$D$142,MATCH(B146,'Rule Matrix'!$A$2:$A$142,0)))</f>
        <v/>
      </c>
      <c r="F146" s="6" t="str">
        <f aca="false">IF(B146="","",INDEX('Rule Matrix'!$F$2:$F$142,MATCH(B146,'Rule Matrix'!$A$2:$A$142,0)))</f>
        <v/>
      </c>
      <c r="G146" s="6" t="str">
        <f aca="false">IF(B146="","",INDEX('Rule Matrix'!$G$2:$G$142,MATCH(B146,'Rule Matrix'!$A$2:$A$142,0)))</f>
        <v/>
      </c>
      <c r="H146" s="6" t="str">
        <f aca="false">IF(B146="","",INDEX('Rule Matrix'!$H$2:$H$142,MATCH(B146,'Rule Matrix'!$A$2:$A$142,0)))</f>
        <v/>
      </c>
      <c r="I146" s="6" t="str">
        <f aca="false">IF(B146="","",INDEX('Rule Matrix'!$J$2:$J$142,MATCH(B146,'Rule Matrix'!$A$2:$A$142,0)))</f>
        <v/>
      </c>
      <c r="Z146" s="22" t="str">
        <f aca="false">Applicability!A140</f>
        <v>L-44</v>
      </c>
      <c r="AA146" s="22" t="n">
        <f aca="false">IF($Z$5=0,0,IF(AND(INDEX(Applicability!$E$140:$O$140,1,$Z$5)="Y",OR(Applicability!$D$140="",IFERROR(INDEX($B$4:$F$4,MATCH(Applicability!$D$140,$B$3:$F$3,0)),"N")="Y")),1,0))</f>
        <v>0</v>
      </c>
      <c r="AB146" s="22" t="str">
        <f aca="false">IF(AA146=1,SUM(AA$8:AA146),"")</f>
        <v/>
      </c>
    </row>
    <row r="147" customFormat="false" ht="15" hidden="false" customHeight="false" outlineLevel="0" collapsed="false">
      <c r="A147" s="6" t="str">
        <f aca="false">IF(140&gt;$B$5,"",140)</f>
        <v/>
      </c>
      <c r="B147" s="6" t="str">
        <f aca="false">IF(A147="","",INDEX($Z$8:$Z$148,MATCH(A147,$AB$8:$AB$148,0)))</f>
        <v/>
      </c>
      <c r="C147" s="6" t="str">
        <f aca="false">IF(B147="","",INDEX('Rule Matrix'!$B$2:$B$142,MATCH(B147,'Rule Matrix'!$A$2:$A$142,0)))</f>
        <v/>
      </c>
      <c r="D147" s="6" t="str">
        <f aca="false">IF(B147="","",INDEX('Rule Matrix'!$C$2:$C$142,MATCH(B147,'Rule Matrix'!$A$2:$A$142,0)))</f>
        <v/>
      </c>
      <c r="E147" s="6" t="str">
        <f aca="false">IF(B147="","",INDEX('Rule Matrix'!$D$2:$D$142,MATCH(B147,'Rule Matrix'!$A$2:$A$142,0)))</f>
        <v/>
      </c>
      <c r="F147" s="6" t="str">
        <f aca="false">IF(B147="","",INDEX('Rule Matrix'!$F$2:$F$142,MATCH(B147,'Rule Matrix'!$A$2:$A$142,0)))</f>
        <v/>
      </c>
      <c r="G147" s="6" t="str">
        <f aca="false">IF(B147="","",INDEX('Rule Matrix'!$G$2:$G$142,MATCH(B147,'Rule Matrix'!$A$2:$A$142,0)))</f>
        <v/>
      </c>
      <c r="H147" s="6" t="str">
        <f aca="false">IF(B147="","",INDEX('Rule Matrix'!$H$2:$H$142,MATCH(B147,'Rule Matrix'!$A$2:$A$142,0)))</f>
        <v/>
      </c>
      <c r="I147" s="6" t="str">
        <f aca="false">IF(B147="","",INDEX('Rule Matrix'!$J$2:$J$142,MATCH(B147,'Rule Matrix'!$A$2:$A$142,0)))</f>
        <v/>
      </c>
      <c r="Z147" s="22" t="str">
        <f aca="false">Applicability!A141</f>
        <v>L-45</v>
      </c>
      <c r="AA147" s="22" t="n">
        <f aca="false">IF($Z$5=0,0,IF(AND(INDEX(Applicability!$E$141:$O$141,1,$Z$5)="Y",OR(Applicability!$D$141="",IFERROR(INDEX($B$4:$F$4,MATCH(Applicability!$D$141,$B$3:$F$3,0)),"N")="Y")),1,0))</f>
        <v>0</v>
      </c>
      <c r="AB147" s="22" t="str">
        <f aca="false">IF(AA147=1,SUM(AA$8:AA147),"")</f>
        <v/>
      </c>
    </row>
    <row r="148" customFormat="false" ht="15" hidden="false" customHeight="false" outlineLevel="0" collapsed="false">
      <c r="A148" s="6" t="str">
        <f aca="false">IF(141&gt;$B$5,"",141)</f>
        <v/>
      </c>
      <c r="B148" s="6" t="str">
        <f aca="false">IF(A148="","",INDEX($Z$8:$Z$148,MATCH(A148,$AB$8:$AB$148,0)))</f>
        <v/>
      </c>
      <c r="C148" s="6" t="str">
        <f aca="false">IF(B148="","",INDEX('Rule Matrix'!$B$2:$B$142,MATCH(B148,'Rule Matrix'!$A$2:$A$142,0)))</f>
        <v/>
      </c>
      <c r="D148" s="6" t="str">
        <f aca="false">IF(B148="","",INDEX('Rule Matrix'!$C$2:$C$142,MATCH(B148,'Rule Matrix'!$A$2:$A$142,0)))</f>
        <v/>
      </c>
      <c r="E148" s="6" t="str">
        <f aca="false">IF(B148="","",INDEX('Rule Matrix'!$D$2:$D$142,MATCH(B148,'Rule Matrix'!$A$2:$A$142,0)))</f>
        <v/>
      </c>
      <c r="F148" s="6" t="str">
        <f aca="false">IF(B148="","",INDEX('Rule Matrix'!$F$2:$F$142,MATCH(B148,'Rule Matrix'!$A$2:$A$142,0)))</f>
        <v/>
      </c>
      <c r="G148" s="6" t="str">
        <f aca="false">IF(B148="","",INDEX('Rule Matrix'!$G$2:$G$142,MATCH(B148,'Rule Matrix'!$A$2:$A$142,0)))</f>
        <v/>
      </c>
      <c r="H148" s="6" t="str">
        <f aca="false">IF(B148="","",INDEX('Rule Matrix'!$H$2:$H$142,MATCH(B148,'Rule Matrix'!$A$2:$A$142,0)))</f>
        <v/>
      </c>
      <c r="I148" s="6" t="str">
        <f aca="false">IF(B148="","",INDEX('Rule Matrix'!$J$2:$J$142,MATCH(B148,'Rule Matrix'!$A$2:$A$142,0)))</f>
        <v/>
      </c>
      <c r="Z148" s="22" t="str">
        <f aca="false">Applicability!A142</f>
        <v>L-46</v>
      </c>
      <c r="AA148" s="22" t="n">
        <f aca="false">IF($Z$5=0,0,IF(AND(INDEX(Applicability!$E$142:$O$142,1,$Z$5)="Y",OR(Applicability!$D$142="",IFERROR(INDEX($B$4:$F$4,MATCH(Applicability!$D$142,$B$3:$F$3,0)),"N")="Y")),1,0))</f>
        <v>0</v>
      </c>
      <c r="AB148" s="22" t="str">
        <f aca="false">IF(AA148=1,SUM(AA$8:AA148),"")</f>
        <v/>
      </c>
    </row>
  </sheetData>
  <dataValidations count="1">
    <dataValidation allowBlank="false" errorStyle="stop" operator="between" showDropDown="false" showErrorMessage="false" showInputMessage="false" sqref="B1" type="list">
      <formula1>'Client Master'!$A$2:$A$61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9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23" t="s">
        <v>153</v>
      </c>
      <c r="B1" s="23" t="s">
        <v>162</v>
      </c>
      <c r="C1" s="23" t="s">
        <v>163</v>
      </c>
      <c r="D1" s="23" t="s">
        <v>164</v>
      </c>
      <c r="E1" s="23" t="s">
        <v>165</v>
      </c>
      <c r="F1" s="23" t="s">
        <v>166</v>
      </c>
      <c r="G1" s="23" t="s">
        <v>167</v>
      </c>
      <c r="H1" s="23" t="s">
        <v>168</v>
      </c>
    </row>
    <row r="2" customFormat="false" ht="15" hidden="false" customHeight="false" outlineLevel="0" collapsed="false">
      <c r="A2" s="24" t="s">
        <v>169</v>
      </c>
      <c r="B2" s="24" t="n">
        <f aca="false">COUNTIF('Rule Matrix'!$B$2:$B$142,A2)</f>
        <v>3</v>
      </c>
      <c r="C2" s="24" t="n">
        <f aca="false">COUNTIFS('Rule Matrix'!$B$2:$B$142,A2,'Rule Matrix'!$H$2:$H$142,"High")</f>
        <v>1</v>
      </c>
      <c r="D2" s="24" t="n">
        <f aca="false">COUNTIFS('Rule Matrix'!$B$2:$B$142,A2,'Rule Matrix'!$H$2:$H$142,"Med")</f>
        <v>2</v>
      </c>
      <c r="E2" s="24" t="n">
        <f aca="false">COUNTIFS('Rule Matrix'!$B$2:$B$142,A2,'Rule Matrix'!$H$2:$H$142,"Low")</f>
        <v>0</v>
      </c>
      <c r="F2" s="24" t="n">
        <f aca="false">COUNTIFS('Rule Matrix'!$B$2:$B$142,A2,'Rule Matrix'!$K$2:$K$142,"Fail")</f>
        <v>1</v>
      </c>
      <c r="G2" s="24" t="n">
        <f aca="false">COUNTIFS('Rule Matrix'!$B$2:$B$142,A2,'Rule Matrix'!$K$2:$K$142,"Pending")</f>
        <v>2</v>
      </c>
      <c r="H2" s="25" t="n">
        <f aca="false">SUMIFS('Rule Matrix'!$L$2:$L$142,'Rule Matrix'!$B$2:$B$142,A2)</f>
        <v>125000</v>
      </c>
    </row>
    <row r="3" customFormat="false" ht="15" hidden="false" customHeight="false" outlineLevel="0" collapsed="false">
      <c r="A3" s="24" t="s">
        <v>170</v>
      </c>
      <c r="B3" s="24" t="n">
        <f aca="false">COUNTIF('Rule Matrix'!$B$2:$B$142,A3)</f>
        <v>11</v>
      </c>
      <c r="C3" s="24" t="n">
        <f aca="false">COUNTIFS('Rule Matrix'!$B$2:$B$142,A3,'Rule Matrix'!$H$2:$H$142,"High")</f>
        <v>8</v>
      </c>
      <c r="D3" s="24" t="n">
        <f aca="false">COUNTIFS('Rule Matrix'!$B$2:$B$142,A3,'Rule Matrix'!$H$2:$H$142,"Med")</f>
        <v>3</v>
      </c>
      <c r="E3" s="24" t="n">
        <f aca="false">COUNTIFS('Rule Matrix'!$B$2:$B$142,A3,'Rule Matrix'!$H$2:$H$142,"Low")</f>
        <v>0</v>
      </c>
      <c r="F3" s="24" t="n">
        <f aca="false">COUNTIFS('Rule Matrix'!$B$2:$B$142,A3,'Rule Matrix'!$K$2:$K$142,"Fail")</f>
        <v>0</v>
      </c>
      <c r="G3" s="24" t="n">
        <f aca="false">COUNTIFS('Rule Matrix'!$B$2:$B$142,A3,'Rule Matrix'!$K$2:$K$142,"Pending")</f>
        <v>11</v>
      </c>
      <c r="H3" s="25" t="n">
        <f aca="false">SUMIFS('Rule Matrix'!$L$2:$L$142,'Rule Matrix'!$B$2:$B$142,A3)</f>
        <v>0</v>
      </c>
    </row>
    <row r="4" customFormat="false" ht="15" hidden="false" customHeight="false" outlineLevel="0" collapsed="false">
      <c r="A4" s="24" t="s">
        <v>171</v>
      </c>
      <c r="B4" s="24" t="n">
        <f aca="false">COUNTIF('Rule Matrix'!$B$2:$B$142,A4)</f>
        <v>5</v>
      </c>
      <c r="C4" s="24" t="n">
        <f aca="false">COUNTIFS('Rule Matrix'!$B$2:$B$142,A4,'Rule Matrix'!$H$2:$H$142,"High")</f>
        <v>3</v>
      </c>
      <c r="D4" s="24" t="n">
        <f aca="false">COUNTIFS('Rule Matrix'!$B$2:$B$142,A4,'Rule Matrix'!$H$2:$H$142,"Med")</f>
        <v>1</v>
      </c>
      <c r="E4" s="24" t="n">
        <f aca="false">COUNTIFS('Rule Matrix'!$B$2:$B$142,A4,'Rule Matrix'!$H$2:$H$142,"Low")</f>
        <v>1</v>
      </c>
      <c r="F4" s="24" t="n">
        <f aca="false">COUNTIFS('Rule Matrix'!$B$2:$B$142,A4,'Rule Matrix'!$K$2:$K$142,"Fail")</f>
        <v>0</v>
      </c>
      <c r="G4" s="24" t="n">
        <f aca="false">COUNTIFS('Rule Matrix'!$B$2:$B$142,A4,'Rule Matrix'!$K$2:$K$142,"Pending")</f>
        <v>5</v>
      </c>
      <c r="H4" s="25" t="n">
        <f aca="false">SUMIFS('Rule Matrix'!$L$2:$L$142,'Rule Matrix'!$B$2:$B$142,A4)</f>
        <v>0</v>
      </c>
    </row>
    <row r="5" customFormat="false" ht="15" hidden="false" customHeight="false" outlineLevel="0" collapsed="false">
      <c r="A5" s="24" t="s">
        <v>172</v>
      </c>
      <c r="B5" s="24" t="n">
        <f aca="false">COUNTIF('Rule Matrix'!$B$2:$B$142,A5)</f>
        <v>8</v>
      </c>
      <c r="C5" s="24" t="n">
        <f aca="false">COUNTIFS('Rule Matrix'!$B$2:$B$142,A5,'Rule Matrix'!$H$2:$H$142,"High")</f>
        <v>2</v>
      </c>
      <c r="D5" s="24" t="n">
        <f aca="false">COUNTIFS('Rule Matrix'!$B$2:$B$142,A5,'Rule Matrix'!$H$2:$H$142,"Med")</f>
        <v>4</v>
      </c>
      <c r="E5" s="24" t="n">
        <f aca="false">COUNTIFS('Rule Matrix'!$B$2:$B$142,A5,'Rule Matrix'!$H$2:$H$142,"Low")</f>
        <v>2</v>
      </c>
      <c r="F5" s="24" t="n">
        <f aca="false">COUNTIFS('Rule Matrix'!$B$2:$B$142,A5,'Rule Matrix'!$K$2:$K$142,"Fail")</f>
        <v>0</v>
      </c>
      <c r="G5" s="24" t="n">
        <f aca="false">COUNTIFS('Rule Matrix'!$B$2:$B$142,A5,'Rule Matrix'!$K$2:$K$142,"Pending")</f>
        <v>8</v>
      </c>
      <c r="H5" s="25" t="n">
        <f aca="false">SUMIFS('Rule Matrix'!$L$2:$L$142,'Rule Matrix'!$B$2:$B$142,A5)</f>
        <v>0</v>
      </c>
    </row>
    <row r="6" customFormat="false" ht="15" hidden="false" customHeight="false" outlineLevel="0" collapsed="false">
      <c r="A6" s="24" t="s">
        <v>173</v>
      </c>
      <c r="B6" s="24" t="n">
        <f aca="false">COUNTIF('Rule Matrix'!$B$2:$B$142,A6)</f>
        <v>15</v>
      </c>
      <c r="C6" s="24" t="n">
        <f aca="false">COUNTIFS('Rule Matrix'!$B$2:$B$142,A6,'Rule Matrix'!$H$2:$H$142,"High")</f>
        <v>7</v>
      </c>
      <c r="D6" s="24" t="n">
        <f aca="false">COUNTIFS('Rule Matrix'!$B$2:$B$142,A6,'Rule Matrix'!$H$2:$H$142,"Med")</f>
        <v>8</v>
      </c>
      <c r="E6" s="24" t="n">
        <f aca="false">COUNTIFS('Rule Matrix'!$B$2:$B$142,A6,'Rule Matrix'!$H$2:$H$142,"Low")</f>
        <v>0</v>
      </c>
      <c r="F6" s="24" t="n">
        <f aca="false">COUNTIFS('Rule Matrix'!$B$2:$B$142,A6,'Rule Matrix'!$K$2:$K$142,"Fail")</f>
        <v>0</v>
      </c>
      <c r="G6" s="24" t="n">
        <f aca="false">COUNTIFS('Rule Matrix'!$B$2:$B$142,A6,'Rule Matrix'!$K$2:$K$142,"Pending")</f>
        <v>15</v>
      </c>
      <c r="H6" s="25" t="n">
        <f aca="false">SUMIFS('Rule Matrix'!$L$2:$L$142,'Rule Matrix'!$B$2:$B$142,A6)</f>
        <v>0</v>
      </c>
    </row>
    <row r="7" customFormat="false" ht="15" hidden="false" customHeight="false" outlineLevel="0" collapsed="false">
      <c r="A7" s="24" t="s">
        <v>174</v>
      </c>
      <c r="B7" s="24" t="n">
        <f aca="false">COUNTIF('Rule Matrix'!$B$2:$B$142,A7)</f>
        <v>7</v>
      </c>
      <c r="C7" s="24" t="n">
        <f aca="false">COUNTIFS('Rule Matrix'!$B$2:$B$142,A7,'Rule Matrix'!$H$2:$H$142,"High")</f>
        <v>3</v>
      </c>
      <c r="D7" s="24" t="n">
        <f aca="false">COUNTIFS('Rule Matrix'!$B$2:$B$142,A7,'Rule Matrix'!$H$2:$H$142,"Med")</f>
        <v>4</v>
      </c>
      <c r="E7" s="24" t="n">
        <f aca="false">COUNTIFS('Rule Matrix'!$B$2:$B$142,A7,'Rule Matrix'!$H$2:$H$142,"Low")</f>
        <v>0</v>
      </c>
      <c r="F7" s="24" t="n">
        <f aca="false">COUNTIFS('Rule Matrix'!$B$2:$B$142,A7,'Rule Matrix'!$K$2:$K$142,"Fail")</f>
        <v>0</v>
      </c>
      <c r="G7" s="24" t="n">
        <f aca="false">COUNTIFS('Rule Matrix'!$B$2:$B$142,A7,'Rule Matrix'!$K$2:$K$142,"Pending")</f>
        <v>7</v>
      </c>
      <c r="H7" s="25" t="n">
        <f aca="false">SUMIFS('Rule Matrix'!$L$2:$L$142,'Rule Matrix'!$B$2:$B$142,A7)</f>
        <v>0</v>
      </c>
    </row>
    <row r="8" customFormat="false" ht="15" hidden="false" customHeight="false" outlineLevel="0" collapsed="false">
      <c r="A8" s="24" t="s">
        <v>175</v>
      </c>
      <c r="B8" s="24" t="n">
        <f aca="false">COUNTIF('Rule Matrix'!$B$2:$B$142,A8)</f>
        <v>15</v>
      </c>
      <c r="C8" s="24" t="n">
        <f aca="false">COUNTIFS('Rule Matrix'!$B$2:$B$142,A8,'Rule Matrix'!$H$2:$H$142,"High")</f>
        <v>8</v>
      </c>
      <c r="D8" s="24" t="n">
        <f aca="false">COUNTIFS('Rule Matrix'!$B$2:$B$142,A8,'Rule Matrix'!$H$2:$H$142,"Med")</f>
        <v>6</v>
      </c>
      <c r="E8" s="24" t="n">
        <f aca="false">COUNTIFS('Rule Matrix'!$B$2:$B$142,A8,'Rule Matrix'!$H$2:$H$142,"Low")</f>
        <v>1</v>
      </c>
      <c r="F8" s="24" t="n">
        <f aca="false">COUNTIFS('Rule Matrix'!$B$2:$B$142,A8,'Rule Matrix'!$K$2:$K$142,"Fail")</f>
        <v>0</v>
      </c>
      <c r="G8" s="24" t="n">
        <f aca="false">COUNTIFS('Rule Matrix'!$B$2:$B$142,A8,'Rule Matrix'!$K$2:$K$142,"Pending")</f>
        <v>15</v>
      </c>
      <c r="H8" s="25" t="n">
        <f aca="false">SUMIFS('Rule Matrix'!$L$2:$L$142,'Rule Matrix'!$B$2:$B$142,A8)</f>
        <v>0</v>
      </c>
    </row>
    <row r="9" customFormat="false" ht="15" hidden="false" customHeight="false" outlineLevel="0" collapsed="false">
      <c r="A9" s="24" t="s">
        <v>176</v>
      </c>
      <c r="B9" s="24" t="n">
        <f aca="false">COUNTIF('Rule Matrix'!$B$2:$B$142,A9)</f>
        <v>8</v>
      </c>
      <c r="C9" s="24" t="n">
        <f aca="false">COUNTIFS('Rule Matrix'!$B$2:$B$142,A9,'Rule Matrix'!$H$2:$H$142,"High")</f>
        <v>4</v>
      </c>
      <c r="D9" s="24" t="n">
        <f aca="false">COUNTIFS('Rule Matrix'!$B$2:$B$142,A9,'Rule Matrix'!$H$2:$H$142,"Med")</f>
        <v>2</v>
      </c>
      <c r="E9" s="24" t="n">
        <f aca="false">COUNTIFS('Rule Matrix'!$B$2:$B$142,A9,'Rule Matrix'!$H$2:$H$142,"Low")</f>
        <v>2</v>
      </c>
      <c r="F9" s="24" t="n">
        <f aca="false">COUNTIFS('Rule Matrix'!$B$2:$B$142,A9,'Rule Matrix'!$K$2:$K$142,"Fail")</f>
        <v>0</v>
      </c>
      <c r="G9" s="24" t="n">
        <f aca="false">COUNTIFS('Rule Matrix'!$B$2:$B$142,A9,'Rule Matrix'!$K$2:$K$142,"Pending")</f>
        <v>8</v>
      </c>
      <c r="H9" s="25" t="n">
        <f aca="false">SUMIFS('Rule Matrix'!$L$2:$L$142,'Rule Matrix'!$B$2:$B$142,A9)</f>
        <v>0</v>
      </c>
    </row>
    <row r="10" customFormat="false" ht="15" hidden="false" customHeight="false" outlineLevel="0" collapsed="false">
      <c r="A10" s="24" t="s">
        <v>177</v>
      </c>
      <c r="B10" s="24" t="n">
        <f aca="false">COUNTIF('Rule Matrix'!$B$2:$B$142,A10)</f>
        <v>8</v>
      </c>
      <c r="C10" s="24" t="n">
        <f aca="false">COUNTIFS('Rule Matrix'!$B$2:$B$142,A10,'Rule Matrix'!$H$2:$H$142,"High")</f>
        <v>4</v>
      </c>
      <c r="D10" s="24" t="n">
        <f aca="false">COUNTIFS('Rule Matrix'!$B$2:$B$142,A10,'Rule Matrix'!$H$2:$H$142,"Med")</f>
        <v>4</v>
      </c>
      <c r="E10" s="24" t="n">
        <f aca="false">COUNTIFS('Rule Matrix'!$B$2:$B$142,A10,'Rule Matrix'!$H$2:$H$142,"Low")</f>
        <v>0</v>
      </c>
      <c r="F10" s="24" t="n">
        <f aca="false">COUNTIFS('Rule Matrix'!$B$2:$B$142,A10,'Rule Matrix'!$K$2:$K$142,"Fail")</f>
        <v>0</v>
      </c>
      <c r="G10" s="24" t="n">
        <f aca="false">COUNTIFS('Rule Matrix'!$B$2:$B$142,A10,'Rule Matrix'!$K$2:$K$142,"Pending")</f>
        <v>8</v>
      </c>
      <c r="H10" s="25" t="n">
        <f aca="false">SUMIFS('Rule Matrix'!$L$2:$L$142,'Rule Matrix'!$B$2:$B$142,A10)</f>
        <v>0</v>
      </c>
    </row>
    <row r="11" customFormat="false" ht="15" hidden="false" customHeight="false" outlineLevel="0" collapsed="false">
      <c r="A11" s="24" t="s">
        <v>178</v>
      </c>
      <c r="B11" s="24" t="n">
        <f aca="false">COUNTIF('Rule Matrix'!$B$2:$B$142,A11)</f>
        <v>4</v>
      </c>
      <c r="C11" s="24" t="n">
        <f aca="false">COUNTIFS('Rule Matrix'!$B$2:$B$142,A11,'Rule Matrix'!$H$2:$H$142,"High")</f>
        <v>1</v>
      </c>
      <c r="D11" s="24" t="n">
        <f aca="false">COUNTIFS('Rule Matrix'!$B$2:$B$142,A11,'Rule Matrix'!$H$2:$H$142,"Med")</f>
        <v>1</v>
      </c>
      <c r="E11" s="24" t="n">
        <f aca="false">COUNTIFS('Rule Matrix'!$B$2:$B$142,A11,'Rule Matrix'!$H$2:$H$142,"Low")</f>
        <v>2</v>
      </c>
      <c r="F11" s="24" t="n">
        <f aca="false">COUNTIFS('Rule Matrix'!$B$2:$B$142,A11,'Rule Matrix'!$K$2:$K$142,"Fail")</f>
        <v>0</v>
      </c>
      <c r="G11" s="24" t="n">
        <f aca="false">COUNTIFS('Rule Matrix'!$B$2:$B$142,A11,'Rule Matrix'!$K$2:$K$142,"Pending")</f>
        <v>4</v>
      </c>
      <c r="H11" s="25" t="n">
        <f aca="false">SUMIFS('Rule Matrix'!$L$2:$L$142,'Rule Matrix'!$B$2:$B$142,A11)</f>
        <v>0</v>
      </c>
    </row>
    <row r="12" customFormat="false" ht="15" hidden="false" customHeight="false" outlineLevel="0" collapsed="false">
      <c r="A12" s="24" t="s">
        <v>179</v>
      </c>
      <c r="B12" s="24" t="n">
        <f aca="false">COUNTIF('Rule Matrix'!$B$2:$B$142,A12)</f>
        <v>11</v>
      </c>
      <c r="C12" s="24" t="n">
        <f aca="false">COUNTIFS('Rule Matrix'!$B$2:$B$142,A12,'Rule Matrix'!$H$2:$H$142,"High")</f>
        <v>4</v>
      </c>
      <c r="D12" s="24" t="n">
        <f aca="false">COUNTIFS('Rule Matrix'!$B$2:$B$142,A12,'Rule Matrix'!$H$2:$H$142,"Med")</f>
        <v>5</v>
      </c>
      <c r="E12" s="24" t="n">
        <f aca="false">COUNTIFS('Rule Matrix'!$B$2:$B$142,A12,'Rule Matrix'!$H$2:$H$142,"Low")</f>
        <v>2</v>
      </c>
      <c r="F12" s="24" t="n">
        <f aca="false">COUNTIFS('Rule Matrix'!$B$2:$B$142,A12,'Rule Matrix'!$K$2:$K$142,"Fail")</f>
        <v>0</v>
      </c>
      <c r="G12" s="24" t="n">
        <f aca="false">COUNTIFS('Rule Matrix'!$B$2:$B$142,A12,'Rule Matrix'!$K$2:$K$142,"Pending")</f>
        <v>11</v>
      </c>
      <c r="H12" s="25" t="n">
        <f aca="false">SUMIFS('Rule Matrix'!$L$2:$L$142,'Rule Matrix'!$B$2:$B$142,A12)</f>
        <v>0</v>
      </c>
    </row>
    <row r="13" customFormat="false" ht="15" hidden="false" customHeight="false" outlineLevel="0" collapsed="false">
      <c r="A13" s="24" t="s">
        <v>180</v>
      </c>
      <c r="B13" s="24" t="n">
        <f aca="false">COUNTIF('Rule Matrix'!$B$2:$B$142,A13)</f>
        <v>46</v>
      </c>
      <c r="C13" s="24" t="n">
        <f aca="false">COUNTIFS('Rule Matrix'!$B$2:$B$142,A13,'Rule Matrix'!$H$2:$H$142,"High")</f>
        <v>21</v>
      </c>
      <c r="D13" s="24" t="n">
        <f aca="false">COUNTIFS('Rule Matrix'!$B$2:$B$142,A13,'Rule Matrix'!$H$2:$H$142,"Med")</f>
        <v>23</v>
      </c>
      <c r="E13" s="24" t="n">
        <f aca="false">COUNTIFS('Rule Matrix'!$B$2:$B$142,A13,'Rule Matrix'!$H$2:$H$142,"Low")</f>
        <v>2</v>
      </c>
      <c r="F13" s="24" t="n">
        <f aca="false">COUNTIFS('Rule Matrix'!$B$2:$B$142,A13,'Rule Matrix'!$K$2:$K$142,"Fail")</f>
        <v>0</v>
      </c>
      <c r="G13" s="24" t="n">
        <f aca="false">COUNTIFS('Rule Matrix'!$B$2:$B$142,A13,'Rule Matrix'!$K$2:$K$142,"Pending")</f>
        <v>46</v>
      </c>
      <c r="H13" s="25" t="n">
        <f aca="false">SUMIFS('Rule Matrix'!$L$2:$L$142,'Rule Matrix'!$B$2:$B$142,A13)</f>
        <v>0</v>
      </c>
    </row>
    <row r="14" customFormat="false" ht="15" hidden="false" customHeight="false" outlineLevel="0" collapsed="false">
      <c r="A14" s="26" t="s">
        <v>162</v>
      </c>
      <c r="B14" s="26" t="n">
        <f aca="false">SUM(B2:B13)</f>
        <v>141</v>
      </c>
      <c r="C14" s="26" t="n">
        <f aca="false">SUM(C2:C13)</f>
        <v>66</v>
      </c>
      <c r="D14" s="26" t="n">
        <f aca="false">SUM(D2:D13)</f>
        <v>63</v>
      </c>
      <c r="E14" s="26" t="n">
        <f aca="false">SUM(E2:E13)</f>
        <v>12</v>
      </c>
      <c r="F14" s="26" t="n">
        <f aca="false">SUM(F2:F13)</f>
        <v>1</v>
      </c>
      <c r="G14" s="26" t="n">
        <f aca="false">SUM(G2:G13)</f>
        <v>140</v>
      </c>
      <c r="H14" s="27" t="n">
        <f aca="false">SUM(H2:H13)</f>
        <v>125000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13" t="s">
        <v>152</v>
      </c>
      <c r="B1" s="13" t="s">
        <v>153</v>
      </c>
      <c r="C1" s="13" t="s">
        <v>154</v>
      </c>
      <c r="D1" s="13" t="s">
        <v>155</v>
      </c>
      <c r="E1" s="13" t="s">
        <v>5</v>
      </c>
      <c r="F1" s="13" t="s">
        <v>156</v>
      </c>
      <c r="G1" s="13" t="s">
        <v>157</v>
      </c>
      <c r="H1" s="13" t="s">
        <v>23</v>
      </c>
      <c r="I1" s="13" t="s">
        <v>181</v>
      </c>
      <c r="J1" s="13" t="s">
        <v>158</v>
      </c>
      <c r="K1" s="13" t="s">
        <v>182</v>
      </c>
      <c r="L1" s="13" t="s">
        <v>168</v>
      </c>
      <c r="M1" s="13" t="s">
        <v>183</v>
      </c>
    </row>
    <row r="2" customFormat="false" ht="22.35" hidden="false" customHeight="false" outlineLevel="0" collapsed="false">
      <c r="A2" s="6" t="s">
        <v>184</v>
      </c>
      <c r="B2" s="6" t="s">
        <v>169</v>
      </c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8" t="s">
        <v>163</v>
      </c>
      <c r="I2" s="6" t="s">
        <v>190</v>
      </c>
      <c r="J2" s="6" t="s">
        <v>191</v>
      </c>
      <c r="K2" s="28" t="s">
        <v>167</v>
      </c>
      <c r="L2" s="29"/>
      <c r="M2" s="28"/>
    </row>
    <row r="3" customFormat="false" ht="15" hidden="false" customHeight="false" outlineLevel="0" collapsed="false">
      <c r="A3" s="6" t="s">
        <v>192</v>
      </c>
      <c r="B3" s="6" t="s">
        <v>169</v>
      </c>
      <c r="C3" s="6" t="s">
        <v>193</v>
      </c>
      <c r="D3" s="6" t="s">
        <v>194</v>
      </c>
      <c r="E3" s="6" t="s">
        <v>195</v>
      </c>
      <c r="F3" s="6" t="s">
        <v>196</v>
      </c>
      <c r="G3" s="6" t="s">
        <v>197</v>
      </c>
      <c r="H3" s="11" t="s">
        <v>164</v>
      </c>
      <c r="I3" s="6" t="s">
        <v>198</v>
      </c>
      <c r="J3" s="6" t="s">
        <v>199</v>
      </c>
      <c r="K3" s="30" t="s">
        <v>166</v>
      </c>
      <c r="L3" s="31" t="n">
        <v>125000</v>
      </c>
      <c r="M3" s="30" t="s">
        <v>200</v>
      </c>
    </row>
    <row r="4" customFormat="false" ht="22.35" hidden="false" customHeight="false" outlineLevel="0" collapsed="false">
      <c r="A4" s="6" t="s">
        <v>201</v>
      </c>
      <c r="B4" s="6" t="s">
        <v>169</v>
      </c>
      <c r="C4" s="6" t="s">
        <v>202</v>
      </c>
      <c r="D4" s="6" t="s">
        <v>203</v>
      </c>
      <c r="E4" s="6" t="s">
        <v>204</v>
      </c>
      <c r="F4" s="6" t="s">
        <v>205</v>
      </c>
      <c r="G4" s="6" t="s">
        <v>206</v>
      </c>
      <c r="H4" s="11" t="s">
        <v>164</v>
      </c>
      <c r="I4" s="6" t="s">
        <v>207</v>
      </c>
      <c r="J4" s="6" t="s">
        <v>208</v>
      </c>
      <c r="K4" s="28" t="s">
        <v>167</v>
      </c>
      <c r="L4" s="29"/>
      <c r="M4" s="28"/>
    </row>
    <row r="5" customFormat="false" ht="22.35" hidden="false" customHeight="false" outlineLevel="0" collapsed="false">
      <c r="A5" s="6" t="s">
        <v>209</v>
      </c>
      <c r="B5" s="6" t="s">
        <v>170</v>
      </c>
      <c r="C5" s="6" t="s">
        <v>210</v>
      </c>
      <c r="D5" s="6" t="s">
        <v>211</v>
      </c>
      <c r="E5" s="6" t="s">
        <v>212</v>
      </c>
      <c r="F5" s="6" t="s">
        <v>213</v>
      </c>
      <c r="G5" s="6" t="s">
        <v>214</v>
      </c>
      <c r="H5" s="8" t="s">
        <v>163</v>
      </c>
      <c r="I5" s="6" t="s">
        <v>215</v>
      </c>
      <c r="J5" s="6" t="s">
        <v>216</v>
      </c>
      <c r="K5" s="28" t="s">
        <v>167</v>
      </c>
      <c r="L5" s="29"/>
      <c r="M5" s="28"/>
    </row>
    <row r="6" customFormat="false" ht="15" hidden="false" customHeight="false" outlineLevel="0" collapsed="false">
      <c r="A6" s="6" t="s">
        <v>217</v>
      </c>
      <c r="B6" s="6" t="s">
        <v>170</v>
      </c>
      <c r="C6" s="6" t="s">
        <v>218</v>
      </c>
      <c r="D6" s="6" t="s">
        <v>219</v>
      </c>
      <c r="E6" s="6" t="s">
        <v>220</v>
      </c>
      <c r="F6" s="6" t="s">
        <v>221</v>
      </c>
      <c r="G6" s="6" t="s">
        <v>222</v>
      </c>
      <c r="H6" s="11" t="s">
        <v>164</v>
      </c>
      <c r="I6" s="6" t="s">
        <v>223</v>
      </c>
      <c r="J6" s="6" t="s">
        <v>224</v>
      </c>
      <c r="K6" s="28" t="s">
        <v>167</v>
      </c>
      <c r="L6" s="29"/>
      <c r="M6" s="28"/>
    </row>
    <row r="7" customFormat="false" ht="15" hidden="false" customHeight="false" outlineLevel="0" collapsed="false">
      <c r="A7" s="6" t="s">
        <v>225</v>
      </c>
      <c r="B7" s="6" t="s">
        <v>170</v>
      </c>
      <c r="C7" s="6" t="s">
        <v>226</v>
      </c>
      <c r="D7" s="6" t="s">
        <v>227</v>
      </c>
      <c r="E7" s="6" t="s">
        <v>228</v>
      </c>
      <c r="F7" s="6" t="s">
        <v>229</v>
      </c>
      <c r="G7" s="6" t="s">
        <v>222</v>
      </c>
      <c r="H7" s="8" t="s">
        <v>163</v>
      </c>
      <c r="I7" s="6" t="s">
        <v>230</v>
      </c>
      <c r="J7" s="6" t="s">
        <v>231</v>
      </c>
      <c r="K7" s="28" t="s">
        <v>167</v>
      </c>
      <c r="L7" s="29"/>
      <c r="M7" s="28"/>
    </row>
    <row r="8" customFormat="false" ht="43.25" hidden="false" customHeight="false" outlineLevel="0" collapsed="false">
      <c r="A8" s="6" t="s">
        <v>232</v>
      </c>
      <c r="B8" s="6" t="s">
        <v>170</v>
      </c>
      <c r="C8" s="6" t="s">
        <v>233</v>
      </c>
      <c r="D8" s="6" t="s">
        <v>234</v>
      </c>
      <c r="E8" s="6" t="s">
        <v>235</v>
      </c>
      <c r="F8" s="6" t="s">
        <v>236</v>
      </c>
      <c r="G8" s="6" t="s">
        <v>222</v>
      </c>
      <c r="H8" s="8" t="s">
        <v>163</v>
      </c>
      <c r="I8" s="6" t="s">
        <v>237</v>
      </c>
      <c r="J8" s="6" t="s">
        <v>238</v>
      </c>
      <c r="K8" s="28" t="s">
        <v>167</v>
      </c>
      <c r="L8" s="29"/>
      <c r="M8" s="28"/>
    </row>
    <row r="9" customFormat="false" ht="22.35" hidden="false" customHeight="false" outlineLevel="0" collapsed="false">
      <c r="A9" s="6" t="s">
        <v>239</v>
      </c>
      <c r="B9" s="6" t="s">
        <v>170</v>
      </c>
      <c r="C9" s="6" t="s">
        <v>240</v>
      </c>
      <c r="D9" s="6" t="s">
        <v>241</v>
      </c>
      <c r="E9" s="6" t="s">
        <v>242</v>
      </c>
      <c r="F9" s="6" t="s">
        <v>243</v>
      </c>
      <c r="G9" s="6" t="s">
        <v>222</v>
      </c>
      <c r="H9" s="8" t="s">
        <v>163</v>
      </c>
      <c r="I9" s="6" t="s">
        <v>244</v>
      </c>
      <c r="J9" s="6" t="s">
        <v>245</v>
      </c>
      <c r="K9" s="28" t="s">
        <v>167</v>
      </c>
      <c r="L9" s="29"/>
      <c r="M9" s="28"/>
    </row>
    <row r="10" customFormat="false" ht="15" hidden="false" customHeight="false" outlineLevel="0" collapsed="false">
      <c r="A10" s="6" t="s">
        <v>246</v>
      </c>
      <c r="B10" s="6" t="s">
        <v>170</v>
      </c>
      <c r="C10" s="6" t="s">
        <v>247</v>
      </c>
      <c r="D10" s="6" t="s">
        <v>248</v>
      </c>
      <c r="E10" s="6" t="s">
        <v>249</v>
      </c>
      <c r="F10" s="6" t="s">
        <v>250</v>
      </c>
      <c r="G10" s="6" t="s">
        <v>222</v>
      </c>
      <c r="H10" s="8" t="s">
        <v>163</v>
      </c>
      <c r="I10" s="6" t="s">
        <v>251</v>
      </c>
      <c r="J10" s="6" t="s">
        <v>252</v>
      </c>
      <c r="K10" s="28" t="s">
        <v>167</v>
      </c>
      <c r="L10" s="29"/>
      <c r="M10" s="28"/>
    </row>
    <row r="11" customFormat="false" ht="22.35" hidden="false" customHeight="false" outlineLevel="0" collapsed="false">
      <c r="A11" s="6" t="s">
        <v>253</v>
      </c>
      <c r="B11" s="6" t="s">
        <v>170</v>
      </c>
      <c r="C11" s="6" t="s">
        <v>254</v>
      </c>
      <c r="D11" s="6" t="s">
        <v>255</v>
      </c>
      <c r="E11" s="6" t="s">
        <v>256</v>
      </c>
      <c r="F11" s="6" t="s">
        <v>257</v>
      </c>
      <c r="G11" s="6" t="s">
        <v>222</v>
      </c>
      <c r="H11" s="8" t="s">
        <v>163</v>
      </c>
      <c r="I11" s="6" t="s">
        <v>258</v>
      </c>
      <c r="J11" s="6" t="s">
        <v>259</v>
      </c>
      <c r="K11" s="28" t="s">
        <v>167</v>
      </c>
      <c r="L11" s="29"/>
      <c r="M11" s="28"/>
    </row>
    <row r="12" customFormat="false" ht="15" hidden="false" customHeight="false" outlineLevel="0" collapsed="false">
      <c r="A12" s="6" t="s">
        <v>260</v>
      </c>
      <c r="B12" s="6" t="s">
        <v>170</v>
      </c>
      <c r="C12" s="6" t="s">
        <v>261</v>
      </c>
      <c r="D12" s="6" t="s">
        <v>262</v>
      </c>
      <c r="E12" s="6" t="s">
        <v>263</v>
      </c>
      <c r="F12" s="6" t="s">
        <v>264</v>
      </c>
      <c r="G12" s="6" t="s">
        <v>222</v>
      </c>
      <c r="H12" s="8" t="s">
        <v>163</v>
      </c>
      <c r="I12" s="6" t="s">
        <v>261</v>
      </c>
      <c r="J12" s="6" t="s">
        <v>265</v>
      </c>
      <c r="K12" s="28" t="s">
        <v>167</v>
      </c>
      <c r="L12" s="29"/>
      <c r="M12" s="28"/>
    </row>
    <row r="13" customFormat="false" ht="15" hidden="false" customHeight="false" outlineLevel="0" collapsed="false">
      <c r="A13" s="6" t="s">
        <v>266</v>
      </c>
      <c r="B13" s="6" t="s">
        <v>170</v>
      </c>
      <c r="C13" s="6" t="s">
        <v>267</v>
      </c>
      <c r="D13" s="6" t="s">
        <v>268</v>
      </c>
      <c r="E13" s="6" t="s">
        <v>269</v>
      </c>
      <c r="F13" s="6" t="s">
        <v>270</v>
      </c>
      <c r="G13" s="6" t="s">
        <v>206</v>
      </c>
      <c r="H13" s="11" t="s">
        <v>164</v>
      </c>
      <c r="I13" s="6" t="s">
        <v>271</v>
      </c>
      <c r="J13" s="6" t="s">
        <v>272</v>
      </c>
      <c r="K13" s="28" t="s">
        <v>167</v>
      </c>
      <c r="L13" s="29"/>
      <c r="M13" s="28"/>
    </row>
    <row r="14" customFormat="false" ht="22.35" hidden="false" customHeight="false" outlineLevel="0" collapsed="false">
      <c r="A14" s="6" t="s">
        <v>273</v>
      </c>
      <c r="B14" s="6" t="s">
        <v>170</v>
      </c>
      <c r="C14" s="6" t="s">
        <v>274</v>
      </c>
      <c r="D14" s="6" t="s">
        <v>275</v>
      </c>
      <c r="E14" s="6" t="s">
        <v>276</v>
      </c>
      <c r="F14" s="6" t="s">
        <v>277</v>
      </c>
      <c r="G14" s="6" t="s">
        <v>222</v>
      </c>
      <c r="H14" s="8" t="s">
        <v>163</v>
      </c>
      <c r="I14" s="6" t="s">
        <v>278</v>
      </c>
      <c r="J14" s="6" t="s">
        <v>265</v>
      </c>
      <c r="K14" s="28" t="s">
        <v>167</v>
      </c>
      <c r="L14" s="29"/>
      <c r="M14" s="28"/>
    </row>
    <row r="15" customFormat="false" ht="22.35" hidden="false" customHeight="false" outlineLevel="0" collapsed="false">
      <c r="A15" s="6" t="s">
        <v>279</v>
      </c>
      <c r="B15" s="6" t="s">
        <v>170</v>
      </c>
      <c r="C15" s="6" t="s">
        <v>280</v>
      </c>
      <c r="D15" s="6" t="s">
        <v>281</v>
      </c>
      <c r="E15" s="6" t="s">
        <v>282</v>
      </c>
      <c r="F15" s="6" t="s">
        <v>283</v>
      </c>
      <c r="G15" s="6" t="s">
        <v>222</v>
      </c>
      <c r="H15" s="11" t="s">
        <v>164</v>
      </c>
      <c r="I15" s="6" t="s">
        <v>284</v>
      </c>
      <c r="J15" s="6" t="s">
        <v>285</v>
      </c>
      <c r="K15" s="28" t="s">
        <v>167</v>
      </c>
      <c r="L15" s="29"/>
      <c r="M15" s="28"/>
    </row>
    <row r="16" customFormat="false" ht="22.35" hidden="false" customHeight="false" outlineLevel="0" collapsed="false">
      <c r="A16" s="6" t="s">
        <v>286</v>
      </c>
      <c r="B16" s="6" t="s">
        <v>171</v>
      </c>
      <c r="C16" s="6" t="s">
        <v>287</v>
      </c>
      <c r="D16" s="6" t="s">
        <v>288</v>
      </c>
      <c r="E16" s="6" t="s">
        <v>289</v>
      </c>
      <c r="F16" s="6" t="s">
        <v>290</v>
      </c>
      <c r="G16" s="6" t="s">
        <v>291</v>
      </c>
      <c r="H16" s="8" t="s">
        <v>163</v>
      </c>
      <c r="I16" s="6" t="s">
        <v>292</v>
      </c>
      <c r="J16" s="6" t="s">
        <v>293</v>
      </c>
      <c r="K16" s="28" t="s">
        <v>167</v>
      </c>
      <c r="L16" s="29"/>
      <c r="M16" s="28"/>
    </row>
    <row r="17" customFormat="false" ht="15" hidden="false" customHeight="false" outlineLevel="0" collapsed="false">
      <c r="A17" s="6" t="s">
        <v>294</v>
      </c>
      <c r="B17" s="6" t="s">
        <v>171</v>
      </c>
      <c r="C17" s="6" t="s">
        <v>295</v>
      </c>
      <c r="D17" s="6" t="s">
        <v>296</v>
      </c>
      <c r="E17" s="6" t="s">
        <v>297</v>
      </c>
      <c r="F17" s="6" t="s">
        <v>298</v>
      </c>
      <c r="G17" s="6" t="s">
        <v>299</v>
      </c>
      <c r="H17" s="8" t="s">
        <v>163</v>
      </c>
      <c r="I17" s="6" t="s">
        <v>271</v>
      </c>
      <c r="J17" s="6" t="s">
        <v>265</v>
      </c>
      <c r="K17" s="28" t="s">
        <v>167</v>
      </c>
      <c r="L17" s="29"/>
      <c r="M17" s="28"/>
    </row>
    <row r="18" customFormat="false" ht="15" hidden="false" customHeight="false" outlineLevel="0" collapsed="false">
      <c r="A18" s="6" t="s">
        <v>300</v>
      </c>
      <c r="B18" s="6" t="s">
        <v>171</v>
      </c>
      <c r="C18" s="6" t="s">
        <v>301</v>
      </c>
      <c r="D18" s="6" t="s">
        <v>302</v>
      </c>
      <c r="E18" s="6" t="s">
        <v>303</v>
      </c>
      <c r="F18" s="6" t="s">
        <v>304</v>
      </c>
      <c r="G18" s="6" t="s">
        <v>305</v>
      </c>
      <c r="H18" s="7" t="s">
        <v>165</v>
      </c>
      <c r="I18" s="6" t="s">
        <v>306</v>
      </c>
      <c r="J18" s="6" t="s">
        <v>307</v>
      </c>
      <c r="K18" s="28" t="s">
        <v>167</v>
      </c>
      <c r="L18" s="29"/>
      <c r="M18" s="28"/>
    </row>
    <row r="19" customFormat="false" ht="32.8" hidden="false" customHeight="false" outlineLevel="0" collapsed="false">
      <c r="A19" s="6" t="s">
        <v>308</v>
      </c>
      <c r="B19" s="6" t="s">
        <v>171</v>
      </c>
      <c r="C19" s="6" t="s">
        <v>309</v>
      </c>
      <c r="D19" s="6" t="s">
        <v>310</v>
      </c>
      <c r="E19" s="6" t="s">
        <v>311</v>
      </c>
      <c r="F19" s="6" t="s">
        <v>312</v>
      </c>
      <c r="G19" s="6" t="s">
        <v>313</v>
      </c>
      <c r="H19" s="8" t="s">
        <v>163</v>
      </c>
      <c r="I19" s="6" t="s">
        <v>314</v>
      </c>
      <c r="J19" s="6" t="s">
        <v>315</v>
      </c>
      <c r="K19" s="28" t="s">
        <v>167</v>
      </c>
      <c r="L19" s="29"/>
      <c r="M19" s="28"/>
    </row>
    <row r="20" customFormat="false" ht="32.8" hidden="false" customHeight="false" outlineLevel="0" collapsed="false">
      <c r="A20" s="6" t="s">
        <v>316</v>
      </c>
      <c r="B20" s="6" t="s">
        <v>171</v>
      </c>
      <c r="C20" s="6" t="s">
        <v>317</v>
      </c>
      <c r="D20" s="6" t="s">
        <v>318</v>
      </c>
      <c r="E20" s="6" t="s">
        <v>319</v>
      </c>
      <c r="F20" s="6" t="s">
        <v>320</v>
      </c>
      <c r="G20" s="6" t="s">
        <v>222</v>
      </c>
      <c r="H20" s="11" t="s">
        <v>164</v>
      </c>
      <c r="I20" s="6" t="s">
        <v>321</v>
      </c>
      <c r="J20" s="6" t="s">
        <v>322</v>
      </c>
      <c r="K20" s="28" t="s">
        <v>167</v>
      </c>
      <c r="L20" s="29"/>
      <c r="M20" s="28"/>
    </row>
    <row r="21" customFormat="false" ht="22.35" hidden="false" customHeight="false" outlineLevel="0" collapsed="false">
      <c r="A21" s="6" t="s">
        <v>323</v>
      </c>
      <c r="B21" s="6" t="s">
        <v>172</v>
      </c>
      <c r="C21" s="6" t="s">
        <v>324</v>
      </c>
      <c r="D21" s="6" t="s">
        <v>325</v>
      </c>
      <c r="E21" s="6" t="s">
        <v>326</v>
      </c>
      <c r="F21" s="6" t="s">
        <v>327</v>
      </c>
      <c r="G21" s="6" t="s">
        <v>222</v>
      </c>
      <c r="H21" s="8" t="s">
        <v>163</v>
      </c>
      <c r="I21" s="6" t="s">
        <v>328</v>
      </c>
      <c r="J21" s="6" t="s">
        <v>329</v>
      </c>
      <c r="K21" s="28" t="s">
        <v>167</v>
      </c>
      <c r="L21" s="29"/>
      <c r="M21" s="28"/>
    </row>
    <row r="22" customFormat="false" ht="22.35" hidden="false" customHeight="false" outlineLevel="0" collapsed="false">
      <c r="A22" s="6" t="s">
        <v>330</v>
      </c>
      <c r="B22" s="6" t="s">
        <v>172</v>
      </c>
      <c r="C22" s="6" t="s">
        <v>331</v>
      </c>
      <c r="D22" s="6" t="s">
        <v>332</v>
      </c>
      <c r="E22" s="6" t="s">
        <v>333</v>
      </c>
      <c r="F22" s="6" t="s">
        <v>334</v>
      </c>
      <c r="G22" s="6" t="s">
        <v>222</v>
      </c>
      <c r="H22" s="11" t="s">
        <v>164</v>
      </c>
      <c r="I22" s="6" t="s">
        <v>335</v>
      </c>
      <c r="J22" s="6" t="s">
        <v>336</v>
      </c>
      <c r="K22" s="28" t="s">
        <v>167</v>
      </c>
      <c r="L22" s="29"/>
      <c r="M22" s="28"/>
    </row>
    <row r="23" customFormat="false" ht="15" hidden="false" customHeight="false" outlineLevel="0" collapsed="false">
      <c r="A23" s="6" t="s">
        <v>337</v>
      </c>
      <c r="B23" s="6" t="s">
        <v>172</v>
      </c>
      <c r="C23" s="6" t="s">
        <v>338</v>
      </c>
      <c r="D23" s="6" t="s">
        <v>339</v>
      </c>
      <c r="E23" s="6" t="s">
        <v>340</v>
      </c>
      <c r="F23" s="6" t="s">
        <v>341</v>
      </c>
      <c r="G23" s="6" t="s">
        <v>222</v>
      </c>
      <c r="H23" s="11" t="s">
        <v>164</v>
      </c>
      <c r="I23" s="6" t="s">
        <v>342</v>
      </c>
      <c r="J23" s="6" t="s">
        <v>265</v>
      </c>
      <c r="K23" s="28" t="s">
        <v>167</v>
      </c>
      <c r="L23" s="29"/>
      <c r="M23" s="28"/>
    </row>
    <row r="24" customFormat="false" ht="22.35" hidden="false" customHeight="false" outlineLevel="0" collapsed="false">
      <c r="A24" s="6" t="s">
        <v>343</v>
      </c>
      <c r="B24" s="6" t="s">
        <v>172</v>
      </c>
      <c r="C24" s="6" t="s">
        <v>344</v>
      </c>
      <c r="D24" s="6" t="s">
        <v>345</v>
      </c>
      <c r="E24" s="6" t="s">
        <v>346</v>
      </c>
      <c r="F24" s="6" t="s">
        <v>347</v>
      </c>
      <c r="G24" s="6" t="s">
        <v>222</v>
      </c>
      <c r="H24" s="7" t="s">
        <v>165</v>
      </c>
      <c r="I24" s="6" t="s">
        <v>348</v>
      </c>
      <c r="J24" s="6" t="s">
        <v>349</v>
      </c>
      <c r="K24" s="28" t="s">
        <v>167</v>
      </c>
      <c r="L24" s="29"/>
      <c r="M24" s="28"/>
    </row>
    <row r="25" customFormat="false" ht="15" hidden="false" customHeight="false" outlineLevel="0" collapsed="false">
      <c r="A25" s="6" t="s">
        <v>350</v>
      </c>
      <c r="B25" s="6" t="s">
        <v>172</v>
      </c>
      <c r="C25" s="6" t="s">
        <v>351</v>
      </c>
      <c r="D25" s="6" t="s">
        <v>352</v>
      </c>
      <c r="E25" s="6" t="s">
        <v>353</v>
      </c>
      <c r="F25" s="6" t="s">
        <v>354</v>
      </c>
      <c r="G25" s="6" t="s">
        <v>222</v>
      </c>
      <c r="H25" s="11" t="s">
        <v>164</v>
      </c>
      <c r="I25" s="6" t="s">
        <v>348</v>
      </c>
      <c r="J25" s="6" t="s">
        <v>349</v>
      </c>
      <c r="K25" s="28" t="s">
        <v>167</v>
      </c>
      <c r="L25" s="29"/>
      <c r="M25" s="28"/>
    </row>
    <row r="26" customFormat="false" ht="22.35" hidden="false" customHeight="false" outlineLevel="0" collapsed="false">
      <c r="A26" s="6" t="s">
        <v>355</v>
      </c>
      <c r="B26" s="6" t="s">
        <v>172</v>
      </c>
      <c r="C26" s="6" t="s">
        <v>356</v>
      </c>
      <c r="D26" s="6" t="s">
        <v>357</v>
      </c>
      <c r="E26" s="6" t="s">
        <v>358</v>
      </c>
      <c r="F26" s="6" t="s">
        <v>359</v>
      </c>
      <c r="G26" s="6" t="s">
        <v>360</v>
      </c>
      <c r="H26" s="7" t="s">
        <v>165</v>
      </c>
      <c r="I26" s="6" t="s">
        <v>361</v>
      </c>
      <c r="J26" s="6" t="s">
        <v>362</v>
      </c>
      <c r="K26" s="28" t="s">
        <v>167</v>
      </c>
      <c r="L26" s="29"/>
      <c r="M26" s="28"/>
    </row>
    <row r="27" customFormat="false" ht="43.25" hidden="false" customHeight="false" outlineLevel="0" collapsed="false">
      <c r="A27" s="6" t="s">
        <v>363</v>
      </c>
      <c r="B27" s="6" t="s">
        <v>172</v>
      </c>
      <c r="C27" s="6" t="s">
        <v>364</v>
      </c>
      <c r="D27" s="6" t="s">
        <v>365</v>
      </c>
      <c r="E27" s="6" t="s">
        <v>366</v>
      </c>
      <c r="F27" s="6" t="s">
        <v>367</v>
      </c>
      <c r="G27" s="6" t="s">
        <v>368</v>
      </c>
      <c r="H27" s="8" t="s">
        <v>163</v>
      </c>
      <c r="I27" s="6" t="s">
        <v>369</v>
      </c>
      <c r="J27" s="6" t="s">
        <v>370</v>
      </c>
      <c r="K27" s="28" t="s">
        <v>167</v>
      </c>
      <c r="L27" s="29"/>
      <c r="M27" s="28"/>
    </row>
    <row r="28" customFormat="false" ht="22.35" hidden="false" customHeight="false" outlineLevel="0" collapsed="false">
      <c r="A28" s="6" t="s">
        <v>371</v>
      </c>
      <c r="B28" s="6" t="s">
        <v>172</v>
      </c>
      <c r="C28" s="6" t="s">
        <v>372</v>
      </c>
      <c r="D28" s="6" t="s">
        <v>373</v>
      </c>
      <c r="E28" s="6" t="s">
        <v>374</v>
      </c>
      <c r="F28" s="6" t="s">
        <v>375</v>
      </c>
      <c r="G28" s="6" t="s">
        <v>222</v>
      </c>
      <c r="H28" s="11" t="s">
        <v>164</v>
      </c>
      <c r="I28" s="6" t="s">
        <v>376</v>
      </c>
      <c r="J28" s="6" t="s">
        <v>377</v>
      </c>
      <c r="K28" s="28" t="s">
        <v>167</v>
      </c>
      <c r="L28" s="29"/>
      <c r="M28" s="28"/>
    </row>
    <row r="29" customFormat="false" ht="22.35" hidden="false" customHeight="false" outlineLevel="0" collapsed="false">
      <c r="A29" s="6" t="s">
        <v>378</v>
      </c>
      <c r="B29" s="6" t="s">
        <v>173</v>
      </c>
      <c r="C29" s="6" t="s">
        <v>379</v>
      </c>
      <c r="D29" s="6" t="s">
        <v>380</v>
      </c>
      <c r="E29" s="6" t="s">
        <v>381</v>
      </c>
      <c r="F29" s="6" t="s">
        <v>382</v>
      </c>
      <c r="G29" s="6" t="s">
        <v>222</v>
      </c>
      <c r="H29" s="8" t="s">
        <v>163</v>
      </c>
      <c r="I29" s="6" t="s">
        <v>383</v>
      </c>
      <c r="J29" s="6" t="s">
        <v>265</v>
      </c>
      <c r="K29" s="28" t="s">
        <v>167</v>
      </c>
      <c r="L29" s="29"/>
      <c r="M29" s="28"/>
    </row>
    <row r="30" customFormat="false" ht="15" hidden="false" customHeight="false" outlineLevel="0" collapsed="false">
      <c r="A30" s="6" t="s">
        <v>384</v>
      </c>
      <c r="B30" s="6" t="s">
        <v>173</v>
      </c>
      <c r="C30" s="6" t="s">
        <v>385</v>
      </c>
      <c r="D30" s="6" t="s">
        <v>386</v>
      </c>
      <c r="E30" s="6" t="s">
        <v>387</v>
      </c>
      <c r="F30" s="6" t="s">
        <v>388</v>
      </c>
      <c r="G30" s="6" t="s">
        <v>222</v>
      </c>
      <c r="H30" s="8" t="s">
        <v>163</v>
      </c>
      <c r="I30" s="6" t="s">
        <v>383</v>
      </c>
      <c r="J30" s="6" t="s">
        <v>265</v>
      </c>
      <c r="K30" s="28" t="s">
        <v>167</v>
      </c>
      <c r="L30" s="29"/>
      <c r="M30" s="28"/>
    </row>
    <row r="31" customFormat="false" ht="22.35" hidden="false" customHeight="false" outlineLevel="0" collapsed="false">
      <c r="A31" s="6" t="s">
        <v>389</v>
      </c>
      <c r="B31" s="6" t="s">
        <v>173</v>
      </c>
      <c r="C31" s="6" t="s">
        <v>390</v>
      </c>
      <c r="D31" s="6" t="s">
        <v>391</v>
      </c>
      <c r="E31" s="6" t="s">
        <v>392</v>
      </c>
      <c r="F31" s="6" t="s">
        <v>393</v>
      </c>
      <c r="G31" s="6" t="s">
        <v>222</v>
      </c>
      <c r="H31" s="8" t="s">
        <v>163</v>
      </c>
      <c r="I31" s="6" t="s">
        <v>383</v>
      </c>
      <c r="J31" s="6" t="s">
        <v>265</v>
      </c>
      <c r="K31" s="28" t="s">
        <v>167</v>
      </c>
      <c r="L31" s="29"/>
      <c r="M31" s="28"/>
    </row>
    <row r="32" customFormat="false" ht="32.8" hidden="false" customHeight="false" outlineLevel="0" collapsed="false">
      <c r="A32" s="6" t="s">
        <v>394</v>
      </c>
      <c r="B32" s="6" t="s">
        <v>173</v>
      </c>
      <c r="C32" s="6" t="s">
        <v>395</v>
      </c>
      <c r="D32" s="6" t="s">
        <v>391</v>
      </c>
      <c r="E32" s="6" t="s">
        <v>396</v>
      </c>
      <c r="F32" s="6" t="s">
        <v>397</v>
      </c>
      <c r="G32" s="6" t="s">
        <v>222</v>
      </c>
      <c r="H32" s="11" t="s">
        <v>164</v>
      </c>
      <c r="I32" s="6" t="s">
        <v>383</v>
      </c>
      <c r="J32" s="6" t="s">
        <v>265</v>
      </c>
      <c r="K32" s="28" t="s">
        <v>167</v>
      </c>
      <c r="L32" s="29"/>
      <c r="M32" s="28"/>
    </row>
    <row r="33" customFormat="false" ht="32.8" hidden="false" customHeight="false" outlineLevel="0" collapsed="false">
      <c r="A33" s="6" t="s">
        <v>398</v>
      </c>
      <c r="B33" s="6" t="s">
        <v>173</v>
      </c>
      <c r="C33" s="6" t="s">
        <v>399</v>
      </c>
      <c r="D33" s="6" t="s">
        <v>391</v>
      </c>
      <c r="E33" s="6" t="s">
        <v>400</v>
      </c>
      <c r="F33" s="6" t="s">
        <v>401</v>
      </c>
      <c r="G33" s="6" t="s">
        <v>222</v>
      </c>
      <c r="H33" s="11" t="s">
        <v>164</v>
      </c>
      <c r="I33" s="6" t="s">
        <v>383</v>
      </c>
      <c r="J33" s="6" t="s">
        <v>265</v>
      </c>
      <c r="K33" s="28" t="s">
        <v>167</v>
      </c>
      <c r="L33" s="29"/>
      <c r="M33" s="28"/>
    </row>
    <row r="34" customFormat="false" ht="15" hidden="false" customHeight="false" outlineLevel="0" collapsed="false">
      <c r="A34" s="6" t="s">
        <v>402</v>
      </c>
      <c r="B34" s="6" t="s">
        <v>173</v>
      </c>
      <c r="C34" s="6" t="s">
        <v>403</v>
      </c>
      <c r="D34" s="6" t="s">
        <v>404</v>
      </c>
      <c r="E34" s="6" t="s">
        <v>405</v>
      </c>
      <c r="F34" s="6" t="s">
        <v>406</v>
      </c>
      <c r="G34" s="6" t="s">
        <v>222</v>
      </c>
      <c r="H34" s="11" t="s">
        <v>164</v>
      </c>
      <c r="I34" s="6" t="s">
        <v>383</v>
      </c>
      <c r="J34" s="6" t="s">
        <v>265</v>
      </c>
      <c r="K34" s="28" t="s">
        <v>167</v>
      </c>
      <c r="L34" s="29"/>
      <c r="M34" s="28"/>
    </row>
    <row r="35" customFormat="false" ht="15" hidden="false" customHeight="false" outlineLevel="0" collapsed="false">
      <c r="A35" s="6" t="s">
        <v>407</v>
      </c>
      <c r="B35" s="6" t="s">
        <v>173</v>
      </c>
      <c r="C35" s="6" t="s">
        <v>408</v>
      </c>
      <c r="D35" s="6" t="s">
        <v>391</v>
      </c>
      <c r="E35" s="6" t="s">
        <v>409</v>
      </c>
      <c r="F35" s="6" t="s">
        <v>410</v>
      </c>
      <c r="G35" s="6" t="s">
        <v>222</v>
      </c>
      <c r="H35" s="11" t="s">
        <v>164</v>
      </c>
      <c r="I35" s="6" t="s">
        <v>383</v>
      </c>
      <c r="J35" s="6" t="s">
        <v>265</v>
      </c>
      <c r="K35" s="28" t="s">
        <v>167</v>
      </c>
      <c r="L35" s="29"/>
      <c r="M35" s="28"/>
    </row>
    <row r="36" customFormat="false" ht="22.35" hidden="false" customHeight="false" outlineLevel="0" collapsed="false">
      <c r="A36" s="6" t="s">
        <v>411</v>
      </c>
      <c r="B36" s="6" t="s">
        <v>173</v>
      </c>
      <c r="C36" s="6" t="s">
        <v>412</v>
      </c>
      <c r="D36" s="6" t="s">
        <v>413</v>
      </c>
      <c r="E36" s="6" t="s">
        <v>414</v>
      </c>
      <c r="F36" s="6" t="s">
        <v>406</v>
      </c>
      <c r="G36" s="6" t="s">
        <v>222</v>
      </c>
      <c r="H36" s="11" t="s">
        <v>164</v>
      </c>
      <c r="I36" s="6" t="s">
        <v>383</v>
      </c>
      <c r="J36" s="6" t="s">
        <v>265</v>
      </c>
      <c r="K36" s="28" t="s">
        <v>167</v>
      </c>
      <c r="L36" s="29"/>
      <c r="M36" s="28"/>
    </row>
    <row r="37" customFormat="false" ht="32.8" hidden="false" customHeight="false" outlineLevel="0" collapsed="false">
      <c r="A37" s="6" t="s">
        <v>415</v>
      </c>
      <c r="B37" s="6" t="s">
        <v>173</v>
      </c>
      <c r="C37" s="6" t="s">
        <v>416</v>
      </c>
      <c r="D37" s="6" t="s">
        <v>417</v>
      </c>
      <c r="E37" s="6" t="s">
        <v>418</v>
      </c>
      <c r="F37" s="6" t="s">
        <v>419</v>
      </c>
      <c r="G37" s="6" t="s">
        <v>222</v>
      </c>
      <c r="H37" s="8" t="s">
        <v>163</v>
      </c>
      <c r="I37" s="6" t="s">
        <v>383</v>
      </c>
      <c r="J37" s="6" t="s">
        <v>265</v>
      </c>
      <c r="K37" s="28" t="s">
        <v>167</v>
      </c>
      <c r="L37" s="29"/>
      <c r="M37" s="28"/>
    </row>
    <row r="38" customFormat="false" ht="43.25" hidden="false" customHeight="false" outlineLevel="0" collapsed="false">
      <c r="A38" s="6" t="s">
        <v>420</v>
      </c>
      <c r="B38" s="6" t="s">
        <v>173</v>
      </c>
      <c r="C38" s="6" t="s">
        <v>421</v>
      </c>
      <c r="D38" s="6" t="s">
        <v>422</v>
      </c>
      <c r="E38" s="6" t="s">
        <v>423</v>
      </c>
      <c r="F38" s="6" t="s">
        <v>424</v>
      </c>
      <c r="G38" s="6" t="s">
        <v>222</v>
      </c>
      <c r="H38" s="8" t="s">
        <v>163</v>
      </c>
      <c r="I38" s="6" t="s">
        <v>383</v>
      </c>
      <c r="J38" s="6" t="s">
        <v>265</v>
      </c>
      <c r="K38" s="28" t="s">
        <v>167</v>
      </c>
      <c r="L38" s="29"/>
      <c r="M38" s="28"/>
    </row>
    <row r="39" customFormat="false" ht="22.35" hidden="false" customHeight="false" outlineLevel="0" collapsed="false">
      <c r="A39" s="6" t="s">
        <v>425</v>
      </c>
      <c r="B39" s="6" t="s">
        <v>173</v>
      </c>
      <c r="C39" s="6" t="s">
        <v>426</v>
      </c>
      <c r="D39" s="6" t="s">
        <v>427</v>
      </c>
      <c r="E39" s="6" t="s">
        <v>340</v>
      </c>
      <c r="F39" s="6" t="s">
        <v>428</v>
      </c>
      <c r="G39" s="6" t="s">
        <v>222</v>
      </c>
      <c r="H39" s="11" t="s">
        <v>164</v>
      </c>
      <c r="I39" s="6" t="s">
        <v>383</v>
      </c>
      <c r="J39" s="6" t="s">
        <v>265</v>
      </c>
      <c r="K39" s="28" t="s">
        <v>167</v>
      </c>
      <c r="L39" s="29"/>
      <c r="M39" s="28"/>
    </row>
    <row r="40" customFormat="false" ht="15" hidden="false" customHeight="false" outlineLevel="0" collapsed="false">
      <c r="A40" s="6" t="s">
        <v>429</v>
      </c>
      <c r="B40" s="6" t="s">
        <v>173</v>
      </c>
      <c r="C40" s="6" t="s">
        <v>430</v>
      </c>
      <c r="D40" s="6" t="s">
        <v>431</v>
      </c>
      <c r="E40" s="6" t="s">
        <v>432</v>
      </c>
      <c r="F40" s="6" t="s">
        <v>433</v>
      </c>
      <c r="G40" s="6" t="s">
        <v>222</v>
      </c>
      <c r="H40" s="8" t="s">
        <v>163</v>
      </c>
      <c r="I40" s="6" t="s">
        <v>383</v>
      </c>
      <c r="J40" s="6" t="s">
        <v>265</v>
      </c>
      <c r="K40" s="28" t="s">
        <v>167</v>
      </c>
      <c r="L40" s="29"/>
      <c r="M40" s="28"/>
    </row>
    <row r="41" customFormat="false" ht="15" hidden="false" customHeight="false" outlineLevel="0" collapsed="false">
      <c r="A41" s="6" t="s">
        <v>434</v>
      </c>
      <c r="B41" s="6" t="s">
        <v>173</v>
      </c>
      <c r="C41" s="6" t="s">
        <v>435</v>
      </c>
      <c r="D41" s="6" t="s">
        <v>436</v>
      </c>
      <c r="E41" s="6" t="s">
        <v>437</v>
      </c>
      <c r="F41" s="6" t="s">
        <v>438</v>
      </c>
      <c r="G41" s="6" t="s">
        <v>222</v>
      </c>
      <c r="H41" s="11" t="s">
        <v>164</v>
      </c>
      <c r="I41" s="6" t="s">
        <v>383</v>
      </c>
      <c r="J41" s="6" t="s">
        <v>265</v>
      </c>
      <c r="K41" s="28" t="s">
        <v>167</v>
      </c>
      <c r="L41" s="29"/>
      <c r="M41" s="28"/>
    </row>
    <row r="42" customFormat="false" ht="22.35" hidden="false" customHeight="false" outlineLevel="0" collapsed="false">
      <c r="A42" s="6" t="s">
        <v>439</v>
      </c>
      <c r="B42" s="6" t="s">
        <v>173</v>
      </c>
      <c r="C42" s="6" t="s">
        <v>440</v>
      </c>
      <c r="D42" s="6" t="s">
        <v>441</v>
      </c>
      <c r="E42" s="6" t="s">
        <v>442</v>
      </c>
      <c r="F42" s="6" t="s">
        <v>443</v>
      </c>
      <c r="G42" s="6" t="s">
        <v>222</v>
      </c>
      <c r="H42" s="8" t="s">
        <v>163</v>
      </c>
      <c r="I42" s="6" t="s">
        <v>444</v>
      </c>
      <c r="J42" s="6" t="s">
        <v>445</v>
      </c>
      <c r="K42" s="28" t="s">
        <v>167</v>
      </c>
      <c r="L42" s="29"/>
      <c r="M42" s="28"/>
    </row>
    <row r="43" customFormat="false" ht="15" hidden="false" customHeight="false" outlineLevel="0" collapsed="false">
      <c r="A43" s="6" t="s">
        <v>446</v>
      </c>
      <c r="B43" s="6" t="s">
        <v>173</v>
      </c>
      <c r="C43" s="6" t="s">
        <v>447</v>
      </c>
      <c r="D43" s="6" t="s">
        <v>448</v>
      </c>
      <c r="E43" s="6" t="s">
        <v>449</v>
      </c>
      <c r="F43" s="6" t="s">
        <v>450</v>
      </c>
      <c r="G43" s="6" t="s">
        <v>222</v>
      </c>
      <c r="H43" s="11" t="s">
        <v>164</v>
      </c>
      <c r="I43" s="6" t="s">
        <v>383</v>
      </c>
      <c r="J43" s="6" t="s">
        <v>265</v>
      </c>
      <c r="K43" s="28" t="s">
        <v>167</v>
      </c>
      <c r="L43" s="29"/>
      <c r="M43" s="28"/>
    </row>
    <row r="44" customFormat="false" ht="22.35" hidden="false" customHeight="false" outlineLevel="0" collapsed="false">
      <c r="A44" s="6" t="s">
        <v>451</v>
      </c>
      <c r="B44" s="6" t="s">
        <v>174</v>
      </c>
      <c r="C44" s="6" t="s">
        <v>452</v>
      </c>
      <c r="D44" s="6" t="s">
        <v>453</v>
      </c>
      <c r="E44" s="6" t="s">
        <v>454</v>
      </c>
      <c r="F44" s="6" t="s">
        <v>455</v>
      </c>
      <c r="G44" s="6" t="s">
        <v>206</v>
      </c>
      <c r="H44" s="8" t="s">
        <v>163</v>
      </c>
      <c r="I44" s="6" t="s">
        <v>456</v>
      </c>
      <c r="J44" s="6" t="s">
        <v>457</v>
      </c>
      <c r="K44" s="28" t="s">
        <v>167</v>
      </c>
      <c r="L44" s="29"/>
      <c r="M44" s="28"/>
    </row>
    <row r="45" customFormat="false" ht="22.35" hidden="false" customHeight="false" outlineLevel="0" collapsed="false">
      <c r="A45" s="6" t="s">
        <v>458</v>
      </c>
      <c r="B45" s="6" t="s">
        <v>174</v>
      </c>
      <c r="C45" s="6" t="s">
        <v>459</v>
      </c>
      <c r="D45" s="6" t="s">
        <v>460</v>
      </c>
      <c r="E45" s="6" t="s">
        <v>396</v>
      </c>
      <c r="F45" s="6" t="s">
        <v>461</v>
      </c>
      <c r="G45" s="6" t="s">
        <v>222</v>
      </c>
      <c r="H45" s="11" t="s">
        <v>164</v>
      </c>
      <c r="I45" s="6" t="s">
        <v>462</v>
      </c>
      <c r="J45" s="6" t="s">
        <v>265</v>
      </c>
      <c r="K45" s="28" t="s">
        <v>167</v>
      </c>
      <c r="L45" s="29"/>
      <c r="M45" s="28"/>
    </row>
    <row r="46" customFormat="false" ht="22.35" hidden="false" customHeight="false" outlineLevel="0" collapsed="false">
      <c r="A46" s="6" t="s">
        <v>463</v>
      </c>
      <c r="B46" s="6" t="s">
        <v>174</v>
      </c>
      <c r="C46" s="6" t="s">
        <v>464</v>
      </c>
      <c r="D46" s="6" t="s">
        <v>465</v>
      </c>
      <c r="E46" s="6" t="s">
        <v>466</v>
      </c>
      <c r="F46" s="6" t="s">
        <v>467</v>
      </c>
      <c r="G46" s="6" t="s">
        <v>468</v>
      </c>
      <c r="H46" s="8" t="s">
        <v>163</v>
      </c>
      <c r="I46" s="6" t="s">
        <v>271</v>
      </c>
      <c r="J46" s="6" t="s">
        <v>265</v>
      </c>
      <c r="K46" s="28" t="s">
        <v>167</v>
      </c>
      <c r="L46" s="29"/>
      <c r="M46" s="28"/>
    </row>
    <row r="47" customFormat="false" ht="22.35" hidden="false" customHeight="false" outlineLevel="0" collapsed="false">
      <c r="A47" s="6" t="s">
        <v>469</v>
      </c>
      <c r="B47" s="6" t="s">
        <v>174</v>
      </c>
      <c r="C47" s="6" t="s">
        <v>470</v>
      </c>
      <c r="D47" s="6" t="s">
        <v>471</v>
      </c>
      <c r="E47" s="6" t="s">
        <v>472</v>
      </c>
      <c r="F47" s="6" t="s">
        <v>473</v>
      </c>
      <c r="G47" s="6" t="s">
        <v>222</v>
      </c>
      <c r="H47" s="11" t="s">
        <v>164</v>
      </c>
      <c r="I47" s="6" t="s">
        <v>474</v>
      </c>
      <c r="J47" s="6" t="s">
        <v>475</v>
      </c>
      <c r="K47" s="28" t="s">
        <v>167</v>
      </c>
      <c r="L47" s="29"/>
      <c r="M47" s="28"/>
    </row>
    <row r="48" customFormat="false" ht="22.35" hidden="false" customHeight="false" outlineLevel="0" collapsed="false">
      <c r="A48" s="6" t="s">
        <v>476</v>
      </c>
      <c r="B48" s="6" t="s">
        <v>174</v>
      </c>
      <c r="C48" s="6" t="s">
        <v>477</v>
      </c>
      <c r="D48" s="6" t="s">
        <v>478</v>
      </c>
      <c r="E48" s="6" t="s">
        <v>479</v>
      </c>
      <c r="F48" s="6" t="s">
        <v>480</v>
      </c>
      <c r="G48" s="6" t="s">
        <v>222</v>
      </c>
      <c r="H48" s="8" t="s">
        <v>163</v>
      </c>
      <c r="I48" s="6" t="s">
        <v>481</v>
      </c>
      <c r="J48" s="6" t="s">
        <v>482</v>
      </c>
      <c r="K48" s="28" t="s">
        <v>167</v>
      </c>
      <c r="L48" s="29"/>
      <c r="M48" s="28"/>
    </row>
    <row r="49" customFormat="false" ht="22.35" hidden="false" customHeight="false" outlineLevel="0" collapsed="false">
      <c r="A49" s="6" t="s">
        <v>483</v>
      </c>
      <c r="B49" s="6" t="s">
        <v>174</v>
      </c>
      <c r="C49" s="6" t="s">
        <v>484</v>
      </c>
      <c r="D49" s="6" t="s">
        <v>485</v>
      </c>
      <c r="E49" s="6" t="s">
        <v>486</v>
      </c>
      <c r="F49" s="6" t="s">
        <v>487</v>
      </c>
      <c r="G49" s="6" t="s">
        <v>488</v>
      </c>
      <c r="H49" s="11" t="s">
        <v>164</v>
      </c>
      <c r="I49" s="6" t="s">
        <v>489</v>
      </c>
      <c r="J49" s="6" t="s">
        <v>490</v>
      </c>
      <c r="K49" s="28" t="s">
        <v>167</v>
      </c>
      <c r="L49" s="29"/>
      <c r="M49" s="28"/>
    </row>
    <row r="50" customFormat="false" ht="22.35" hidden="false" customHeight="false" outlineLevel="0" collapsed="false">
      <c r="A50" s="6" t="s">
        <v>491</v>
      </c>
      <c r="B50" s="6" t="s">
        <v>174</v>
      </c>
      <c r="C50" s="6" t="s">
        <v>492</v>
      </c>
      <c r="D50" s="6" t="s">
        <v>493</v>
      </c>
      <c r="E50" s="6" t="s">
        <v>494</v>
      </c>
      <c r="F50" s="6" t="s">
        <v>495</v>
      </c>
      <c r="G50" s="6" t="s">
        <v>313</v>
      </c>
      <c r="H50" s="11" t="s">
        <v>164</v>
      </c>
      <c r="I50" s="6" t="s">
        <v>496</v>
      </c>
      <c r="J50" s="6" t="s">
        <v>497</v>
      </c>
      <c r="K50" s="28" t="s">
        <v>167</v>
      </c>
      <c r="L50" s="29"/>
      <c r="M50" s="28"/>
    </row>
    <row r="51" customFormat="false" ht="22.35" hidden="false" customHeight="false" outlineLevel="0" collapsed="false">
      <c r="A51" s="6" t="s">
        <v>498</v>
      </c>
      <c r="B51" s="6" t="s">
        <v>175</v>
      </c>
      <c r="C51" s="6" t="s">
        <v>499</v>
      </c>
      <c r="D51" s="6" t="s">
        <v>500</v>
      </c>
      <c r="E51" s="6" t="s">
        <v>501</v>
      </c>
      <c r="F51" s="6" t="s">
        <v>502</v>
      </c>
      <c r="G51" s="6" t="s">
        <v>503</v>
      </c>
      <c r="H51" s="8" t="s">
        <v>163</v>
      </c>
      <c r="I51" s="6" t="s">
        <v>504</v>
      </c>
      <c r="J51" s="6" t="s">
        <v>505</v>
      </c>
      <c r="K51" s="28" t="s">
        <v>167</v>
      </c>
      <c r="L51" s="29"/>
      <c r="M51" s="28"/>
    </row>
    <row r="52" customFormat="false" ht="15" hidden="false" customHeight="false" outlineLevel="0" collapsed="false">
      <c r="A52" s="6" t="s">
        <v>506</v>
      </c>
      <c r="B52" s="6" t="s">
        <v>175</v>
      </c>
      <c r="C52" s="6" t="s">
        <v>507</v>
      </c>
      <c r="D52" s="6" t="s">
        <v>508</v>
      </c>
      <c r="E52" s="6" t="s">
        <v>509</v>
      </c>
      <c r="F52" s="6" t="s">
        <v>510</v>
      </c>
      <c r="G52" s="6" t="s">
        <v>511</v>
      </c>
      <c r="H52" s="8" t="s">
        <v>163</v>
      </c>
      <c r="I52" s="6" t="s">
        <v>512</v>
      </c>
      <c r="J52" s="6" t="s">
        <v>513</v>
      </c>
      <c r="K52" s="28" t="s">
        <v>167</v>
      </c>
      <c r="L52" s="29"/>
      <c r="M52" s="28"/>
    </row>
    <row r="53" customFormat="false" ht="22.35" hidden="false" customHeight="false" outlineLevel="0" collapsed="false">
      <c r="A53" s="6" t="s">
        <v>514</v>
      </c>
      <c r="B53" s="6" t="s">
        <v>175</v>
      </c>
      <c r="C53" s="6" t="s">
        <v>515</v>
      </c>
      <c r="D53" s="6" t="s">
        <v>516</v>
      </c>
      <c r="E53" s="6" t="s">
        <v>517</v>
      </c>
      <c r="F53" s="6" t="s">
        <v>518</v>
      </c>
      <c r="G53" s="6" t="s">
        <v>222</v>
      </c>
      <c r="H53" s="8" t="s">
        <v>163</v>
      </c>
      <c r="I53" s="6" t="s">
        <v>519</v>
      </c>
      <c r="J53" s="6" t="s">
        <v>520</v>
      </c>
      <c r="K53" s="28" t="s">
        <v>167</v>
      </c>
      <c r="L53" s="29"/>
      <c r="M53" s="28"/>
    </row>
    <row r="54" customFormat="false" ht="22.35" hidden="false" customHeight="false" outlineLevel="0" collapsed="false">
      <c r="A54" s="6" t="s">
        <v>521</v>
      </c>
      <c r="B54" s="6" t="s">
        <v>175</v>
      </c>
      <c r="C54" s="6" t="s">
        <v>522</v>
      </c>
      <c r="D54" s="6" t="s">
        <v>523</v>
      </c>
      <c r="E54" s="6" t="s">
        <v>524</v>
      </c>
      <c r="F54" s="6" t="s">
        <v>525</v>
      </c>
      <c r="G54" s="6" t="s">
        <v>222</v>
      </c>
      <c r="H54" s="11" t="s">
        <v>164</v>
      </c>
      <c r="I54" s="6" t="s">
        <v>526</v>
      </c>
      <c r="J54" s="6" t="s">
        <v>527</v>
      </c>
      <c r="K54" s="28" t="s">
        <v>167</v>
      </c>
      <c r="L54" s="29"/>
      <c r="M54" s="28"/>
    </row>
    <row r="55" customFormat="false" ht="15" hidden="false" customHeight="false" outlineLevel="0" collapsed="false">
      <c r="A55" s="6" t="s">
        <v>528</v>
      </c>
      <c r="B55" s="6" t="s">
        <v>175</v>
      </c>
      <c r="C55" s="6" t="s">
        <v>529</v>
      </c>
      <c r="D55" s="6" t="s">
        <v>530</v>
      </c>
      <c r="E55" s="6" t="s">
        <v>531</v>
      </c>
      <c r="F55" s="6" t="s">
        <v>532</v>
      </c>
      <c r="G55" s="6" t="s">
        <v>222</v>
      </c>
      <c r="H55" s="8" t="s">
        <v>163</v>
      </c>
      <c r="I55" s="6" t="s">
        <v>533</v>
      </c>
      <c r="J55" s="6" t="s">
        <v>534</v>
      </c>
      <c r="K55" s="28" t="s">
        <v>167</v>
      </c>
      <c r="L55" s="29"/>
      <c r="M55" s="28"/>
    </row>
    <row r="56" customFormat="false" ht="53.7" hidden="false" customHeight="false" outlineLevel="0" collapsed="false">
      <c r="A56" s="6" t="s">
        <v>535</v>
      </c>
      <c r="B56" s="6" t="s">
        <v>175</v>
      </c>
      <c r="C56" s="6" t="s">
        <v>536</v>
      </c>
      <c r="D56" s="6" t="s">
        <v>537</v>
      </c>
      <c r="E56" s="6" t="s">
        <v>538</v>
      </c>
      <c r="F56" s="6" t="s">
        <v>539</v>
      </c>
      <c r="G56" s="6" t="s">
        <v>540</v>
      </c>
      <c r="H56" s="8" t="s">
        <v>163</v>
      </c>
      <c r="I56" s="6" t="s">
        <v>541</v>
      </c>
      <c r="J56" s="6" t="s">
        <v>542</v>
      </c>
      <c r="K56" s="28" t="s">
        <v>167</v>
      </c>
      <c r="L56" s="29"/>
      <c r="M56" s="28"/>
    </row>
    <row r="57" customFormat="false" ht="22.35" hidden="false" customHeight="false" outlineLevel="0" collapsed="false">
      <c r="A57" s="6" t="s">
        <v>543</v>
      </c>
      <c r="B57" s="6" t="s">
        <v>175</v>
      </c>
      <c r="C57" s="6" t="s">
        <v>544</v>
      </c>
      <c r="D57" s="6" t="s">
        <v>545</v>
      </c>
      <c r="E57" s="6" t="s">
        <v>546</v>
      </c>
      <c r="F57" s="6" t="s">
        <v>547</v>
      </c>
      <c r="G57" s="6" t="s">
        <v>222</v>
      </c>
      <c r="H57" s="8" t="s">
        <v>163</v>
      </c>
      <c r="I57" s="6" t="s">
        <v>548</v>
      </c>
      <c r="J57" s="6" t="s">
        <v>542</v>
      </c>
      <c r="K57" s="28" t="s">
        <v>167</v>
      </c>
      <c r="L57" s="29"/>
      <c r="M57" s="28"/>
    </row>
    <row r="58" customFormat="false" ht="22.35" hidden="false" customHeight="false" outlineLevel="0" collapsed="false">
      <c r="A58" s="6" t="s">
        <v>549</v>
      </c>
      <c r="B58" s="6" t="s">
        <v>175</v>
      </c>
      <c r="C58" s="6" t="s">
        <v>550</v>
      </c>
      <c r="D58" s="6" t="s">
        <v>551</v>
      </c>
      <c r="E58" s="6" t="s">
        <v>552</v>
      </c>
      <c r="F58" s="6" t="s">
        <v>553</v>
      </c>
      <c r="G58" s="6" t="s">
        <v>554</v>
      </c>
      <c r="H58" s="11" t="s">
        <v>164</v>
      </c>
      <c r="I58" s="6" t="s">
        <v>555</v>
      </c>
      <c r="J58" s="6" t="s">
        <v>556</v>
      </c>
      <c r="K58" s="28" t="s">
        <v>167</v>
      </c>
      <c r="L58" s="29"/>
      <c r="M58" s="28"/>
    </row>
    <row r="59" customFormat="false" ht="15" hidden="false" customHeight="false" outlineLevel="0" collapsed="false">
      <c r="A59" s="6" t="s">
        <v>557</v>
      </c>
      <c r="B59" s="6" t="s">
        <v>175</v>
      </c>
      <c r="C59" s="6" t="s">
        <v>558</v>
      </c>
      <c r="D59" s="6" t="s">
        <v>559</v>
      </c>
      <c r="E59" s="6" t="s">
        <v>560</v>
      </c>
      <c r="F59" s="6" t="s">
        <v>561</v>
      </c>
      <c r="G59" s="6" t="s">
        <v>222</v>
      </c>
      <c r="H59" s="11" t="s">
        <v>164</v>
      </c>
      <c r="I59" s="6" t="s">
        <v>541</v>
      </c>
      <c r="J59" s="6" t="s">
        <v>562</v>
      </c>
      <c r="K59" s="28" t="s">
        <v>167</v>
      </c>
      <c r="L59" s="29"/>
      <c r="M59" s="28"/>
    </row>
    <row r="60" customFormat="false" ht="22.35" hidden="false" customHeight="false" outlineLevel="0" collapsed="false">
      <c r="A60" s="6" t="s">
        <v>563</v>
      </c>
      <c r="B60" s="6" t="s">
        <v>175</v>
      </c>
      <c r="C60" s="6" t="s">
        <v>564</v>
      </c>
      <c r="D60" s="6" t="s">
        <v>565</v>
      </c>
      <c r="E60" s="6" t="s">
        <v>566</v>
      </c>
      <c r="F60" s="6" t="s">
        <v>567</v>
      </c>
      <c r="G60" s="6" t="s">
        <v>222</v>
      </c>
      <c r="H60" s="8" t="s">
        <v>163</v>
      </c>
      <c r="I60" s="6" t="s">
        <v>555</v>
      </c>
      <c r="J60" s="6" t="s">
        <v>568</v>
      </c>
      <c r="K60" s="28" t="s">
        <v>167</v>
      </c>
      <c r="L60" s="29"/>
      <c r="M60" s="28"/>
    </row>
    <row r="61" customFormat="false" ht="15" hidden="false" customHeight="false" outlineLevel="0" collapsed="false">
      <c r="A61" s="6" t="s">
        <v>569</v>
      </c>
      <c r="B61" s="6" t="s">
        <v>175</v>
      </c>
      <c r="C61" s="6" t="s">
        <v>570</v>
      </c>
      <c r="D61" s="6" t="s">
        <v>571</v>
      </c>
      <c r="E61" s="6" t="s">
        <v>572</v>
      </c>
      <c r="F61" s="6" t="s">
        <v>573</v>
      </c>
      <c r="G61" s="6" t="s">
        <v>222</v>
      </c>
      <c r="H61" s="11" t="s">
        <v>164</v>
      </c>
      <c r="I61" s="6" t="s">
        <v>574</v>
      </c>
      <c r="J61" s="6" t="s">
        <v>575</v>
      </c>
      <c r="K61" s="28" t="s">
        <v>167</v>
      </c>
      <c r="L61" s="29"/>
      <c r="M61" s="28"/>
    </row>
    <row r="62" customFormat="false" ht="15" hidden="false" customHeight="false" outlineLevel="0" collapsed="false">
      <c r="A62" s="6" t="s">
        <v>576</v>
      </c>
      <c r="B62" s="6" t="s">
        <v>175</v>
      </c>
      <c r="C62" s="6" t="s">
        <v>577</v>
      </c>
      <c r="D62" s="6" t="s">
        <v>578</v>
      </c>
      <c r="E62" s="6" t="s">
        <v>579</v>
      </c>
      <c r="F62" s="6" t="s">
        <v>580</v>
      </c>
      <c r="G62" s="6" t="s">
        <v>222</v>
      </c>
      <c r="H62" s="11" t="s">
        <v>164</v>
      </c>
      <c r="I62" s="6" t="s">
        <v>581</v>
      </c>
      <c r="J62" s="6" t="s">
        <v>582</v>
      </c>
      <c r="K62" s="28" t="s">
        <v>167</v>
      </c>
      <c r="L62" s="29"/>
      <c r="M62" s="28"/>
    </row>
    <row r="63" customFormat="false" ht="15" hidden="false" customHeight="false" outlineLevel="0" collapsed="false">
      <c r="A63" s="6" t="s">
        <v>583</v>
      </c>
      <c r="B63" s="6" t="s">
        <v>175</v>
      </c>
      <c r="C63" s="6" t="s">
        <v>584</v>
      </c>
      <c r="D63" s="6" t="s">
        <v>585</v>
      </c>
      <c r="E63" s="6" t="s">
        <v>586</v>
      </c>
      <c r="F63" s="6" t="s">
        <v>587</v>
      </c>
      <c r="G63" s="6" t="s">
        <v>222</v>
      </c>
      <c r="H63" s="8" t="s">
        <v>163</v>
      </c>
      <c r="I63" s="6" t="s">
        <v>314</v>
      </c>
      <c r="J63" s="6" t="s">
        <v>588</v>
      </c>
      <c r="K63" s="28" t="s">
        <v>167</v>
      </c>
      <c r="L63" s="29"/>
      <c r="M63" s="28"/>
    </row>
    <row r="64" customFormat="false" ht="15" hidden="false" customHeight="false" outlineLevel="0" collapsed="false">
      <c r="A64" s="6" t="s">
        <v>589</v>
      </c>
      <c r="B64" s="6" t="s">
        <v>175</v>
      </c>
      <c r="C64" s="6" t="s">
        <v>590</v>
      </c>
      <c r="D64" s="6" t="s">
        <v>591</v>
      </c>
      <c r="E64" s="6" t="s">
        <v>592</v>
      </c>
      <c r="F64" s="6" t="s">
        <v>593</v>
      </c>
      <c r="G64" s="6" t="s">
        <v>222</v>
      </c>
      <c r="H64" s="11" t="s">
        <v>164</v>
      </c>
      <c r="I64" s="6" t="s">
        <v>594</v>
      </c>
      <c r="J64" s="6" t="s">
        <v>595</v>
      </c>
      <c r="K64" s="28" t="s">
        <v>167</v>
      </c>
      <c r="L64" s="29"/>
      <c r="M64" s="28"/>
    </row>
    <row r="65" customFormat="false" ht="15" hidden="false" customHeight="false" outlineLevel="0" collapsed="false">
      <c r="A65" s="6" t="s">
        <v>596</v>
      </c>
      <c r="B65" s="6" t="s">
        <v>175</v>
      </c>
      <c r="C65" s="6" t="s">
        <v>597</v>
      </c>
      <c r="D65" s="6" t="s">
        <v>598</v>
      </c>
      <c r="E65" s="6" t="s">
        <v>599</v>
      </c>
      <c r="F65" s="6" t="s">
        <v>600</v>
      </c>
      <c r="G65" s="6" t="s">
        <v>601</v>
      </c>
      <c r="H65" s="7" t="s">
        <v>165</v>
      </c>
      <c r="I65" s="6" t="s">
        <v>306</v>
      </c>
      <c r="J65" s="6" t="s">
        <v>203</v>
      </c>
      <c r="K65" s="28" t="s">
        <v>167</v>
      </c>
      <c r="L65" s="29"/>
      <c r="M65" s="28"/>
    </row>
    <row r="66" customFormat="false" ht="15" hidden="false" customHeight="false" outlineLevel="0" collapsed="false">
      <c r="A66" s="6" t="s">
        <v>602</v>
      </c>
      <c r="B66" s="6" t="s">
        <v>176</v>
      </c>
      <c r="C66" s="6" t="s">
        <v>603</v>
      </c>
      <c r="D66" s="6" t="s">
        <v>604</v>
      </c>
      <c r="E66" s="6" t="s">
        <v>605</v>
      </c>
      <c r="F66" s="6" t="s">
        <v>606</v>
      </c>
      <c r="G66" s="6" t="s">
        <v>601</v>
      </c>
      <c r="H66" s="8" t="s">
        <v>163</v>
      </c>
      <c r="I66" s="6" t="s">
        <v>607</v>
      </c>
      <c r="J66" s="6" t="s">
        <v>608</v>
      </c>
      <c r="K66" s="28" t="s">
        <v>167</v>
      </c>
      <c r="L66" s="29"/>
      <c r="M66" s="28"/>
    </row>
    <row r="67" customFormat="false" ht="15" hidden="false" customHeight="false" outlineLevel="0" collapsed="false">
      <c r="A67" s="6" t="s">
        <v>609</v>
      </c>
      <c r="B67" s="6" t="s">
        <v>176</v>
      </c>
      <c r="C67" s="6" t="s">
        <v>610</v>
      </c>
      <c r="D67" s="6" t="s">
        <v>611</v>
      </c>
      <c r="E67" s="6" t="s">
        <v>612</v>
      </c>
      <c r="F67" s="6" t="s">
        <v>613</v>
      </c>
      <c r="G67" s="6" t="s">
        <v>360</v>
      </c>
      <c r="H67" s="11" t="s">
        <v>164</v>
      </c>
      <c r="I67" s="6" t="s">
        <v>607</v>
      </c>
      <c r="J67" s="6" t="s">
        <v>614</v>
      </c>
      <c r="K67" s="28" t="s">
        <v>167</v>
      </c>
      <c r="L67" s="29"/>
      <c r="M67" s="28"/>
    </row>
    <row r="68" customFormat="false" ht="43.25" hidden="false" customHeight="false" outlineLevel="0" collapsed="false">
      <c r="A68" s="6" t="s">
        <v>615</v>
      </c>
      <c r="B68" s="6" t="s">
        <v>176</v>
      </c>
      <c r="C68" s="6" t="s">
        <v>616</v>
      </c>
      <c r="D68" s="6" t="s">
        <v>617</v>
      </c>
      <c r="E68" s="6" t="s">
        <v>618</v>
      </c>
      <c r="F68" s="6" t="s">
        <v>619</v>
      </c>
      <c r="G68" s="6" t="s">
        <v>620</v>
      </c>
      <c r="H68" s="8" t="s">
        <v>163</v>
      </c>
      <c r="I68" s="6" t="s">
        <v>607</v>
      </c>
      <c r="J68" s="6" t="s">
        <v>621</v>
      </c>
      <c r="K68" s="28" t="s">
        <v>167</v>
      </c>
      <c r="L68" s="29"/>
      <c r="M68" s="28"/>
    </row>
    <row r="69" customFormat="false" ht="53.7" hidden="false" customHeight="false" outlineLevel="0" collapsed="false">
      <c r="A69" s="6" t="s">
        <v>622</v>
      </c>
      <c r="B69" s="6" t="s">
        <v>176</v>
      </c>
      <c r="C69" s="6" t="s">
        <v>623</v>
      </c>
      <c r="D69" s="6" t="s">
        <v>624</v>
      </c>
      <c r="E69" s="6" t="s">
        <v>625</v>
      </c>
      <c r="F69" s="6" t="s">
        <v>626</v>
      </c>
      <c r="G69" s="6" t="s">
        <v>627</v>
      </c>
      <c r="H69" s="8" t="s">
        <v>163</v>
      </c>
      <c r="I69" s="6" t="s">
        <v>607</v>
      </c>
      <c r="J69" s="6" t="s">
        <v>628</v>
      </c>
      <c r="K69" s="28" t="s">
        <v>167</v>
      </c>
      <c r="L69" s="29"/>
      <c r="M69" s="28"/>
    </row>
    <row r="70" customFormat="false" ht="15" hidden="false" customHeight="false" outlineLevel="0" collapsed="false">
      <c r="A70" s="6" t="s">
        <v>629</v>
      </c>
      <c r="B70" s="6" t="s">
        <v>176</v>
      </c>
      <c r="C70" s="6" t="s">
        <v>630</v>
      </c>
      <c r="D70" s="6" t="s">
        <v>203</v>
      </c>
      <c r="E70" s="6" t="s">
        <v>631</v>
      </c>
      <c r="F70" s="6" t="s">
        <v>632</v>
      </c>
      <c r="G70" s="6" t="s">
        <v>633</v>
      </c>
      <c r="H70" s="7" t="s">
        <v>165</v>
      </c>
      <c r="I70" s="6" t="s">
        <v>203</v>
      </c>
      <c r="J70" s="6" t="s">
        <v>595</v>
      </c>
      <c r="K70" s="28" t="s">
        <v>167</v>
      </c>
      <c r="L70" s="29"/>
      <c r="M70" s="28"/>
    </row>
    <row r="71" customFormat="false" ht="22.35" hidden="false" customHeight="false" outlineLevel="0" collapsed="false">
      <c r="A71" s="6" t="s">
        <v>634</v>
      </c>
      <c r="B71" s="6" t="s">
        <v>176</v>
      </c>
      <c r="C71" s="6" t="s">
        <v>635</v>
      </c>
      <c r="D71" s="6" t="s">
        <v>636</v>
      </c>
      <c r="E71" s="6" t="s">
        <v>637</v>
      </c>
      <c r="F71" s="6" t="s">
        <v>638</v>
      </c>
      <c r="G71" s="6" t="s">
        <v>222</v>
      </c>
      <c r="H71" s="8" t="s">
        <v>163</v>
      </c>
      <c r="I71" s="6" t="s">
        <v>271</v>
      </c>
      <c r="J71" s="6" t="s">
        <v>639</v>
      </c>
      <c r="K71" s="28" t="s">
        <v>167</v>
      </c>
      <c r="L71" s="29"/>
      <c r="M71" s="28"/>
    </row>
    <row r="72" customFormat="false" ht="22.35" hidden="false" customHeight="false" outlineLevel="0" collapsed="false">
      <c r="A72" s="6" t="s">
        <v>640</v>
      </c>
      <c r="B72" s="6" t="s">
        <v>176</v>
      </c>
      <c r="C72" s="6" t="s">
        <v>641</v>
      </c>
      <c r="D72" s="6" t="s">
        <v>642</v>
      </c>
      <c r="E72" s="6" t="s">
        <v>643</v>
      </c>
      <c r="F72" s="6" t="s">
        <v>644</v>
      </c>
      <c r="G72" s="6" t="s">
        <v>645</v>
      </c>
      <c r="H72" s="7" t="s">
        <v>165</v>
      </c>
      <c r="I72" s="6" t="s">
        <v>203</v>
      </c>
      <c r="J72" s="6" t="s">
        <v>349</v>
      </c>
      <c r="K72" s="28" t="s">
        <v>167</v>
      </c>
      <c r="L72" s="29"/>
      <c r="M72" s="28"/>
    </row>
    <row r="73" customFormat="false" ht="15" hidden="false" customHeight="false" outlineLevel="0" collapsed="false">
      <c r="A73" s="6" t="s">
        <v>646</v>
      </c>
      <c r="B73" s="6" t="s">
        <v>176</v>
      </c>
      <c r="C73" s="6" t="s">
        <v>647</v>
      </c>
      <c r="D73" s="6" t="s">
        <v>203</v>
      </c>
      <c r="E73" s="6" t="s">
        <v>605</v>
      </c>
      <c r="F73" s="6" t="s">
        <v>648</v>
      </c>
      <c r="G73" s="6" t="s">
        <v>649</v>
      </c>
      <c r="H73" s="11" t="s">
        <v>164</v>
      </c>
      <c r="I73" s="6" t="s">
        <v>650</v>
      </c>
      <c r="J73" s="6" t="s">
        <v>651</v>
      </c>
      <c r="K73" s="28" t="s">
        <v>167</v>
      </c>
      <c r="L73" s="29"/>
      <c r="M73" s="28"/>
    </row>
    <row r="74" customFormat="false" ht="15" hidden="false" customHeight="false" outlineLevel="0" collapsed="false">
      <c r="A74" s="6" t="s">
        <v>652</v>
      </c>
      <c r="B74" s="6" t="s">
        <v>177</v>
      </c>
      <c r="C74" s="6" t="s">
        <v>653</v>
      </c>
      <c r="D74" s="6" t="s">
        <v>654</v>
      </c>
      <c r="E74" s="6" t="s">
        <v>655</v>
      </c>
      <c r="F74" s="6" t="s">
        <v>656</v>
      </c>
      <c r="G74" s="6" t="s">
        <v>222</v>
      </c>
      <c r="H74" s="8" t="s">
        <v>163</v>
      </c>
      <c r="I74" s="6" t="s">
        <v>657</v>
      </c>
      <c r="J74" s="6" t="s">
        <v>265</v>
      </c>
      <c r="K74" s="28" t="s">
        <v>167</v>
      </c>
      <c r="L74" s="29"/>
      <c r="M74" s="28"/>
    </row>
    <row r="75" customFormat="false" ht="22.35" hidden="false" customHeight="false" outlineLevel="0" collapsed="false">
      <c r="A75" s="6" t="s">
        <v>658</v>
      </c>
      <c r="B75" s="6" t="s">
        <v>177</v>
      </c>
      <c r="C75" s="6" t="s">
        <v>659</v>
      </c>
      <c r="D75" s="6" t="s">
        <v>660</v>
      </c>
      <c r="E75" s="6" t="s">
        <v>661</v>
      </c>
      <c r="F75" s="6" t="s">
        <v>662</v>
      </c>
      <c r="G75" s="6" t="s">
        <v>222</v>
      </c>
      <c r="H75" s="8" t="s">
        <v>163</v>
      </c>
      <c r="I75" s="6" t="s">
        <v>342</v>
      </c>
      <c r="J75" s="6" t="s">
        <v>265</v>
      </c>
      <c r="K75" s="28" t="s">
        <v>167</v>
      </c>
      <c r="L75" s="29"/>
      <c r="M75" s="28"/>
    </row>
    <row r="76" customFormat="false" ht="22.35" hidden="false" customHeight="false" outlineLevel="0" collapsed="false">
      <c r="A76" s="6" t="s">
        <v>663</v>
      </c>
      <c r="B76" s="6" t="s">
        <v>177</v>
      </c>
      <c r="C76" s="6" t="s">
        <v>664</v>
      </c>
      <c r="D76" s="6" t="s">
        <v>441</v>
      </c>
      <c r="E76" s="6" t="s">
        <v>665</v>
      </c>
      <c r="F76" s="6" t="s">
        <v>666</v>
      </c>
      <c r="G76" s="6" t="s">
        <v>222</v>
      </c>
      <c r="H76" s="8" t="s">
        <v>163</v>
      </c>
      <c r="I76" s="6" t="s">
        <v>667</v>
      </c>
      <c r="J76" s="6" t="s">
        <v>265</v>
      </c>
      <c r="K76" s="28" t="s">
        <v>167</v>
      </c>
      <c r="L76" s="29"/>
      <c r="M76" s="28"/>
    </row>
    <row r="77" customFormat="false" ht="22.35" hidden="false" customHeight="false" outlineLevel="0" collapsed="false">
      <c r="A77" s="6" t="s">
        <v>668</v>
      </c>
      <c r="B77" s="6" t="s">
        <v>177</v>
      </c>
      <c r="C77" s="6" t="s">
        <v>669</v>
      </c>
      <c r="D77" s="6" t="s">
        <v>670</v>
      </c>
      <c r="E77" s="6" t="s">
        <v>671</v>
      </c>
      <c r="F77" s="6" t="s">
        <v>672</v>
      </c>
      <c r="G77" s="6" t="s">
        <v>313</v>
      </c>
      <c r="H77" s="8" t="s">
        <v>163</v>
      </c>
      <c r="I77" s="6" t="s">
        <v>673</v>
      </c>
      <c r="J77" s="6" t="s">
        <v>265</v>
      </c>
      <c r="K77" s="28" t="s">
        <v>167</v>
      </c>
      <c r="L77" s="29"/>
      <c r="M77" s="28"/>
    </row>
    <row r="78" customFormat="false" ht="15" hidden="false" customHeight="false" outlineLevel="0" collapsed="false">
      <c r="A78" s="6" t="s">
        <v>674</v>
      </c>
      <c r="B78" s="6" t="s">
        <v>177</v>
      </c>
      <c r="C78" s="6" t="s">
        <v>675</v>
      </c>
      <c r="D78" s="6" t="s">
        <v>676</v>
      </c>
      <c r="E78" s="6" t="s">
        <v>677</v>
      </c>
      <c r="F78" s="6" t="s">
        <v>678</v>
      </c>
      <c r="G78" s="6" t="s">
        <v>222</v>
      </c>
      <c r="H78" s="11" t="s">
        <v>164</v>
      </c>
      <c r="I78" s="6" t="s">
        <v>383</v>
      </c>
      <c r="J78" s="6" t="s">
        <v>265</v>
      </c>
      <c r="K78" s="28" t="s">
        <v>167</v>
      </c>
      <c r="L78" s="29"/>
      <c r="M78" s="28"/>
    </row>
    <row r="79" customFormat="false" ht="15" hidden="false" customHeight="false" outlineLevel="0" collapsed="false">
      <c r="A79" s="6" t="s">
        <v>679</v>
      </c>
      <c r="B79" s="6" t="s">
        <v>177</v>
      </c>
      <c r="C79" s="6" t="s">
        <v>680</v>
      </c>
      <c r="D79" s="6" t="s">
        <v>681</v>
      </c>
      <c r="E79" s="6" t="s">
        <v>682</v>
      </c>
      <c r="F79" s="6" t="s">
        <v>683</v>
      </c>
      <c r="G79" s="6" t="s">
        <v>222</v>
      </c>
      <c r="H79" s="11" t="s">
        <v>164</v>
      </c>
      <c r="I79" s="6" t="s">
        <v>684</v>
      </c>
      <c r="J79" s="6" t="s">
        <v>265</v>
      </c>
      <c r="K79" s="28" t="s">
        <v>167</v>
      </c>
      <c r="L79" s="29"/>
      <c r="M79" s="28"/>
    </row>
    <row r="80" customFormat="false" ht="15" hidden="false" customHeight="false" outlineLevel="0" collapsed="false">
      <c r="A80" s="6" t="s">
        <v>685</v>
      </c>
      <c r="B80" s="6" t="s">
        <v>177</v>
      </c>
      <c r="C80" s="6" t="s">
        <v>686</v>
      </c>
      <c r="D80" s="6" t="s">
        <v>203</v>
      </c>
      <c r="E80" s="6" t="s">
        <v>687</v>
      </c>
      <c r="F80" s="6" t="s">
        <v>688</v>
      </c>
      <c r="G80" s="6" t="s">
        <v>222</v>
      </c>
      <c r="H80" s="11" t="s">
        <v>164</v>
      </c>
      <c r="I80" s="6" t="s">
        <v>689</v>
      </c>
      <c r="J80" s="6" t="s">
        <v>690</v>
      </c>
      <c r="K80" s="28" t="s">
        <v>167</v>
      </c>
      <c r="L80" s="29"/>
      <c r="M80" s="28"/>
    </row>
    <row r="81" customFormat="false" ht="15" hidden="false" customHeight="false" outlineLevel="0" collapsed="false">
      <c r="A81" s="6" t="s">
        <v>691</v>
      </c>
      <c r="B81" s="6" t="s">
        <v>177</v>
      </c>
      <c r="C81" s="6" t="s">
        <v>692</v>
      </c>
      <c r="D81" s="6" t="s">
        <v>693</v>
      </c>
      <c r="E81" s="6" t="s">
        <v>694</v>
      </c>
      <c r="F81" s="6" t="s">
        <v>695</v>
      </c>
      <c r="G81" s="6" t="s">
        <v>222</v>
      </c>
      <c r="H81" s="11" t="s">
        <v>164</v>
      </c>
      <c r="I81" s="6" t="s">
        <v>541</v>
      </c>
      <c r="J81" s="6" t="s">
        <v>575</v>
      </c>
      <c r="K81" s="28" t="s">
        <v>167</v>
      </c>
      <c r="L81" s="29"/>
      <c r="M81" s="28"/>
    </row>
    <row r="82" customFormat="false" ht="15" hidden="false" customHeight="false" outlineLevel="0" collapsed="false">
      <c r="A82" s="6" t="s">
        <v>696</v>
      </c>
      <c r="B82" s="6" t="s">
        <v>178</v>
      </c>
      <c r="C82" s="6" t="s">
        <v>697</v>
      </c>
      <c r="D82" s="6" t="s">
        <v>698</v>
      </c>
      <c r="E82" s="6" t="s">
        <v>699</v>
      </c>
      <c r="F82" s="6" t="s">
        <v>700</v>
      </c>
      <c r="G82" s="6" t="s">
        <v>222</v>
      </c>
      <c r="H82" s="11" t="s">
        <v>164</v>
      </c>
      <c r="I82" s="6" t="s">
        <v>701</v>
      </c>
      <c r="J82" s="6" t="s">
        <v>702</v>
      </c>
      <c r="K82" s="28" t="s">
        <v>167</v>
      </c>
      <c r="L82" s="29"/>
      <c r="M82" s="28"/>
    </row>
    <row r="83" customFormat="false" ht="15" hidden="false" customHeight="false" outlineLevel="0" collapsed="false">
      <c r="A83" s="6" t="s">
        <v>703</v>
      </c>
      <c r="B83" s="6" t="s">
        <v>178</v>
      </c>
      <c r="C83" s="6" t="s">
        <v>704</v>
      </c>
      <c r="D83" s="6" t="s">
        <v>705</v>
      </c>
      <c r="E83" s="6" t="s">
        <v>706</v>
      </c>
      <c r="F83" s="6" t="s">
        <v>707</v>
      </c>
      <c r="G83" s="6" t="s">
        <v>222</v>
      </c>
      <c r="H83" s="8" t="s">
        <v>163</v>
      </c>
      <c r="I83" s="6" t="s">
        <v>701</v>
      </c>
      <c r="J83" s="6" t="s">
        <v>575</v>
      </c>
      <c r="K83" s="28" t="s">
        <v>167</v>
      </c>
      <c r="L83" s="29"/>
      <c r="M83" s="28"/>
    </row>
    <row r="84" customFormat="false" ht="15" hidden="false" customHeight="false" outlineLevel="0" collapsed="false">
      <c r="A84" s="6" t="s">
        <v>708</v>
      </c>
      <c r="B84" s="6" t="s">
        <v>178</v>
      </c>
      <c r="C84" s="6" t="s">
        <v>709</v>
      </c>
      <c r="D84" s="6" t="s">
        <v>710</v>
      </c>
      <c r="E84" s="6" t="s">
        <v>711</v>
      </c>
      <c r="F84" s="6" t="s">
        <v>712</v>
      </c>
      <c r="G84" s="6" t="s">
        <v>222</v>
      </c>
      <c r="H84" s="7" t="s">
        <v>165</v>
      </c>
      <c r="I84" s="6" t="s">
        <v>713</v>
      </c>
      <c r="J84" s="6" t="s">
        <v>575</v>
      </c>
      <c r="K84" s="28" t="s">
        <v>167</v>
      </c>
      <c r="L84" s="29"/>
      <c r="M84" s="28"/>
    </row>
    <row r="85" customFormat="false" ht="22.35" hidden="false" customHeight="false" outlineLevel="0" collapsed="false">
      <c r="A85" s="6" t="s">
        <v>714</v>
      </c>
      <c r="B85" s="6" t="s">
        <v>178</v>
      </c>
      <c r="C85" s="6" t="s">
        <v>715</v>
      </c>
      <c r="D85" s="6" t="s">
        <v>716</v>
      </c>
      <c r="E85" s="6" t="s">
        <v>717</v>
      </c>
      <c r="F85" s="6" t="s">
        <v>718</v>
      </c>
      <c r="G85" s="6" t="s">
        <v>719</v>
      </c>
      <c r="H85" s="7" t="s">
        <v>165</v>
      </c>
      <c r="I85" s="6" t="s">
        <v>203</v>
      </c>
      <c r="J85" s="6" t="s">
        <v>720</v>
      </c>
      <c r="K85" s="28" t="s">
        <v>167</v>
      </c>
      <c r="L85" s="29"/>
      <c r="M85" s="28"/>
    </row>
    <row r="86" customFormat="false" ht="32.8" hidden="false" customHeight="false" outlineLevel="0" collapsed="false">
      <c r="A86" s="6" t="s">
        <v>721</v>
      </c>
      <c r="B86" s="6" t="s">
        <v>179</v>
      </c>
      <c r="C86" s="6" t="s">
        <v>722</v>
      </c>
      <c r="D86" s="6" t="s">
        <v>723</v>
      </c>
      <c r="E86" s="6" t="s">
        <v>724</v>
      </c>
      <c r="F86" s="6" t="s">
        <v>725</v>
      </c>
      <c r="G86" s="6" t="s">
        <v>726</v>
      </c>
      <c r="H86" s="8" t="s">
        <v>163</v>
      </c>
      <c r="I86" s="6" t="s">
        <v>203</v>
      </c>
      <c r="J86" s="6" t="s">
        <v>727</v>
      </c>
      <c r="K86" s="28" t="s">
        <v>167</v>
      </c>
      <c r="L86" s="29"/>
      <c r="M86" s="28"/>
    </row>
    <row r="87" customFormat="false" ht="64.15" hidden="false" customHeight="false" outlineLevel="0" collapsed="false">
      <c r="A87" s="6" t="s">
        <v>728</v>
      </c>
      <c r="B87" s="6" t="s">
        <v>179</v>
      </c>
      <c r="C87" s="6" t="s">
        <v>729</v>
      </c>
      <c r="D87" s="6" t="s">
        <v>730</v>
      </c>
      <c r="E87" s="6" t="s">
        <v>731</v>
      </c>
      <c r="F87" s="6" t="s">
        <v>732</v>
      </c>
      <c r="G87" s="6" t="s">
        <v>733</v>
      </c>
      <c r="H87" s="8" t="s">
        <v>163</v>
      </c>
      <c r="I87" s="6" t="s">
        <v>734</v>
      </c>
      <c r="J87" s="6" t="s">
        <v>735</v>
      </c>
      <c r="K87" s="28" t="s">
        <v>167</v>
      </c>
      <c r="L87" s="29"/>
      <c r="M87" s="28"/>
    </row>
    <row r="88" customFormat="false" ht="32.8" hidden="false" customHeight="false" outlineLevel="0" collapsed="false">
      <c r="A88" s="6" t="s">
        <v>736</v>
      </c>
      <c r="B88" s="6" t="s">
        <v>179</v>
      </c>
      <c r="C88" s="6" t="s">
        <v>737</v>
      </c>
      <c r="D88" s="6" t="s">
        <v>738</v>
      </c>
      <c r="E88" s="6" t="s">
        <v>739</v>
      </c>
      <c r="F88" s="6" t="s">
        <v>740</v>
      </c>
      <c r="G88" s="6" t="s">
        <v>741</v>
      </c>
      <c r="H88" s="8" t="s">
        <v>163</v>
      </c>
      <c r="I88" s="6" t="s">
        <v>742</v>
      </c>
      <c r="J88" s="6" t="s">
        <v>743</v>
      </c>
      <c r="K88" s="28" t="s">
        <v>167</v>
      </c>
      <c r="L88" s="29"/>
      <c r="M88" s="28"/>
    </row>
    <row r="89" customFormat="false" ht="22.35" hidden="false" customHeight="false" outlineLevel="0" collapsed="false">
      <c r="A89" s="6" t="s">
        <v>744</v>
      </c>
      <c r="B89" s="6" t="s">
        <v>179</v>
      </c>
      <c r="C89" s="6" t="s">
        <v>42</v>
      </c>
      <c r="D89" s="6" t="s">
        <v>45</v>
      </c>
      <c r="E89" s="6" t="s">
        <v>745</v>
      </c>
      <c r="F89" s="6" t="s">
        <v>746</v>
      </c>
      <c r="G89" s="6" t="s">
        <v>747</v>
      </c>
      <c r="H89" s="7" t="s">
        <v>165</v>
      </c>
      <c r="I89" s="6" t="s">
        <v>203</v>
      </c>
      <c r="J89" s="6" t="s">
        <v>748</v>
      </c>
      <c r="K89" s="28" t="s">
        <v>167</v>
      </c>
      <c r="L89" s="29"/>
      <c r="M89" s="28"/>
    </row>
    <row r="90" customFormat="false" ht="74.6" hidden="false" customHeight="false" outlineLevel="0" collapsed="false">
      <c r="A90" s="6" t="s">
        <v>749</v>
      </c>
      <c r="B90" s="6" t="s">
        <v>179</v>
      </c>
      <c r="C90" s="6" t="s">
        <v>750</v>
      </c>
      <c r="D90" s="6" t="s">
        <v>751</v>
      </c>
      <c r="E90" s="6" t="s">
        <v>752</v>
      </c>
      <c r="F90" s="6" t="s">
        <v>753</v>
      </c>
      <c r="G90" s="6" t="s">
        <v>754</v>
      </c>
      <c r="H90" s="11" t="s">
        <v>164</v>
      </c>
      <c r="I90" s="6" t="s">
        <v>742</v>
      </c>
      <c r="J90" s="6" t="s">
        <v>743</v>
      </c>
      <c r="K90" s="28" t="s">
        <v>167</v>
      </c>
      <c r="L90" s="29"/>
      <c r="M90" s="28"/>
    </row>
    <row r="91" customFormat="false" ht="22.35" hidden="false" customHeight="false" outlineLevel="0" collapsed="false">
      <c r="A91" s="6" t="s">
        <v>755</v>
      </c>
      <c r="B91" s="6" t="s">
        <v>179</v>
      </c>
      <c r="C91" s="6" t="s">
        <v>756</v>
      </c>
      <c r="D91" s="6" t="s">
        <v>757</v>
      </c>
      <c r="E91" s="6" t="s">
        <v>758</v>
      </c>
      <c r="F91" s="6" t="s">
        <v>759</v>
      </c>
      <c r="G91" s="6" t="s">
        <v>203</v>
      </c>
      <c r="H91" s="11" t="s">
        <v>164</v>
      </c>
      <c r="I91" s="6" t="s">
        <v>760</v>
      </c>
      <c r="J91" s="6" t="s">
        <v>761</v>
      </c>
      <c r="K91" s="28" t="s">
        <v>167</v>
      </c>
      <c r="L91" s="29"/>
      <c r="M91" s="28"/>
    </row>
    <row r="92" customFormat="false" ht="32.8" hidden="false" customHeight="false" outlineLevel="0" collapsed="false">
      <c r="A92" s="6" t="s">
        <v>762</v>
      </c>
      <c r="B92" s="6" t="s">
        <v>179</v>
      </c>
      <c r="C92" s="6" t="s">
        <v>763</v>
      </c>
      <c r="D92" s="6" t="s">
        <v>764</v>
      </c>
      <c r="E92" s="6" t="s">
        <v>765</v>
      </c>
      <c r="F92" s="6" t="s">
        <v>766</v>
      </c>
      <c r="G92" s="6" t="s">
        <v>203</v>
      </c>
      <c r="H92" s="8" t="s">
        <v>163</v>
      </c>
      <c r="I92" s="6" t="s">
        <v>767</v>
      </c>
      <c r="J92" s="6" t="s">
        <v>768</v>
      </c>
      <c r="K92" s="28" t="s">
        <v>167</v>
      </c>
      <c r="L92" s="29"/>
      <c r="M92" s="28"/>
    </row>
    <row r="93" customFormat="false" ht="22.35" hidden="false" customHeight="false" outlineLevel="0" collapsed="false">
      <c r="A93" s="6" t="s">
        <v>769</v>
      </c>
      <c r="B93" s="6" t="s">
        <v>179</v>
      </c>
      <c r="C93" s="6" t="s">
        <v>770</v>
      </c>
      <c r="D93" s="6" t="s">
        <v>771</v>
      </c>
      <c r="E93" s="6" t="s">
        <v>772</v>
      </c>
      <c r="F93" s="6" t="s">
        <v>773</v>
      </c>
      <c r="G93" s="6" t="s">
        <v>774</v>
      </c>
      <c r="H93" s="11" t="s">
        <v>164</v>
      </c>
      <c r="I93" s="6" t="s">
        <v>775</v>
      </c>
      <c r="J93" s="6" t="s">
        <v>776</v>
      </c>
      <c r="K93" s="28" t="s">
        <v>167</v>
      </c>
      <c r="L93" s="29"/>
      <c r="M93" s="28"/>
    </row>
    <row r="94" customFormat="false" ht="22.35" hidden="false" customHeight="false" outlineLevel="0" collapsed="false">
      <c r="A94" s="6" t="s">
        <v>777</v>
      </c>
      <c r="B94" s="6" t="s">
        <v>179</v>
      </c>
      <c r="C94" s="6" t="s">
        <v>778</v>
      </c>
      <c r="D94" s="6" t="s">
        <v>779</v>
      </c>
      <c r="E94" s="6" t="s">
        <v>780</v>
      </c>
      <c r="F94" s="6" t="s">
        <v>781</v>
      </c>
      <c r="G94" s="6" t="s">
        <v>203</v>
      </c>
      <c r="H94" s="11" t="s">
        <v>164</v>
      </c>
      <c r="I94" s="6" t="s">
        <v>782</v>
      </c>
      <c r="J94" s="6" t="s">
        <v>783</v>
      </c>
      <c r="K94" s="28" t="s">
        <v>167</v>
      </c>
      <c r="L94" s="29"/>
      <c r="M94" s="28"/>
    </row>
    <row r="95" customFormat="false" ht="22.35" hidden="false" customHeight="false" outlineLevel="0" collapsed="false">
      <c r="A95" s="6" t="s">
        <v>784</v>
      </c>
      <c r="B95" s="6" t="s">
        <v>179</v>
      </c>
      <c r="C95" s="6" t="s">
        <v>785</v>
      </c>
      <c r="D95" s="6" t="s">
        <v>786</v>
      </c>
      <c r="E95" s="6" t="s">
        <v>787</v>
      </c>
      <c r="F95" s="6" t="s">
        <v>788</v>
      </c>
      <c r="G95" s="6" t="s">
        <v>203</v>
      </c>
      <c r="H95" s="11" t="s">
        <v>164</v>
      </c>
      <c r="I95" s="6" t="s">
        <v>789</v>
      </c>
      <c r="J95" s="6" t="s">
        <v>790</v>
      </c>
      <c r="K95" s="28" t="s">
        <v>167</v>
      </c>
      <c r="L95" s="29"/>
      <c r="M95" s="28"/>
    </row>
    <row r="96" customFormat="false" ht="22.35" hidden="false" customHeight="false" outlineLevel="0" collapsed="false">
      <c r="A96" s="6" t="s">
        <v>791</v>
      </c>
      <c r="B96" s="6" t="s">
        <v>179</v>
      </c>
      <c r="C96" s="6" t="s">
        <v>792</v>
      </c>
      <c r="D96" s="6" t="s">
        <v>793</v>
      </c>
      <c r="E96" s="6" t="s">
        <v>794</v>
      </c>
      <c r="F96" s="6" t="s">
        <v>795</v>
      </c>
      <c r="G96" s="6" t="s">
        <v>796</v>
      </c>
      <c r="H96" s="7" t="s">
        <v>165</v>
      </c>
      <c r="I96" s="6" t="s">
        <v>797</v>
      </c>
      <c r="J96" s="6" t="s">
        <v>798</v>
      </c>
      <c r="K96" s="28" t="s">
        <v>167</v>
      </c>
      <c r="L96" s="29"/>
      <c r="M96" s="28"/>
    </row>
    <row r="97" customFormat="false" ht="32.8" hidden="false" customHeight="false" outlineLevel="0" collapsed="false">
      <c r="A97" s="6" t="s">
        <v>799</v>
      </c>
      <c r="B97" s="6" t="s">
        <v>180</v>
      </c>
      <c r="C97" s="6" t="s">
        <v>800</v>
      </c>
      <c r="D97" s="6" t="s">
        <v>801</v>
      </c>
      <c r="E97" s="6" t="s">
        <v>802</v>
      </c>
      <c r="F97" s="6" t="s">
        <v>803</v>
      </c>
      <c r="G97" s="6" t="s">
        <v>406</v>
      </c>
      <c r="H97" s="8" t="s">
        <v>163</v>
      </c>
      <c r="I97" s="6" t="s">
        <v>383</v>
      </c>
      <c r="J97" s="6" t="s">
        <v>804</v>
      </c>
      <c r="K97" s="28" t="s">
        <v>167</v>
      </c>
      <c r="L97" s="29"/>
      <c r="M97" s="28"/>
    </row>
    <row r="98" customFormat="false" ht="43.25" hidden="false" customHeight="false" outlineLevel="0" collapsed="false">
      <c r="A98" s="6" t="s">
        <v>805</v>
      </c>
      <c r="B98" s="6" t="s">
        <v>180</v>
      </c>
      <c r="C98" s="6" t="s">
        <v>806</v>
      </c>
      <c r="D98" s="6" t="s">
        <v>807</v>
      </c>
      <c r="E98" s="6" t="s">
        <v>808</v>
      </c>
      <c r="F98" s="6" t="s">
        <v>809</v>
      </c>
      <c r="G98" s="6" t="s">
        <v>810</v>
      </c>
      <c r="H98" s="8" t="s">
        <v>163</v>
      </c>
      <c r="I98" s="6" t="s">
        <v>811</v>
      </c>
      <c r="J98" s="6" t="s">
        <v>812</v>
      </c>
      <c r="K98" s="28" t="s">
        <v>167</v>
      </c>
      <c r="L98" s="29"/>
      <c r="M98" s="28"/>
    </row>
    <row r="99" customFormat="false" ht="22.35" hidden="false" customHeight="false" outlineLevel="0" collapsed="false">
      <c r="A99" s="6" t="s">
        <v>813</v>
      </c>
      <c r="B99" s="6" t="s">
        <v>180</v>
      </c>
      <c r="C99" s="6" t="s">
        <v>814</v>
      </c>
      <c r="D99" s="6" t="s">
        <v>815</v>
      </c>
      <c r="E99" s="6" t="s">
        <v>816</v>
      </c>
      <c r="F99" s="6" t="s">
        <v>817</v>
      </c>
      <c r="G99" s="6" t="s">
        <v>554</v>
      </c>
      <c r="H99" s="11" t="s">
        <v>164</v>
      </c>
      <c r="I99" s="6" t="s">
        <v>555</v>
      </c>
      <c r="J99" s="6" t="s">
        <v>818</v>
      </c>
      <c r="K99" s="28" t="s">
        <v>167</v>
      </c>
      <c r="L99" s="29"/>
      <c r="M99" s="28"/>
    </row>
    <row r="100" customFormat="false" ht="22.35" hidden="false" customHeight="false" outlineLevel="0" collapsed="false">
      <c r="A100" s="6" t="s">
        <v>819</v>
      </c>
      <c r="B100" s="6" t="s">
        <v>180</v>
      </c>
      <c r="C100" s="6" t="s">
        <v>820</v>
      </c>
      <c r="D100" s="6" t="s">
        <v>821</v>
      </c>
      <c r="E100" s="6" t="s">
        <v>822</v>
      </c>
      <c r="F100" s="6" t="s">
        <v>823</v>
      </c>
      <c r="G100" s="6" t="s">
        <v>222</v>
      </c>
      <c r="H100" s="8" t="s">
        <v>163</v>
      </c>
      <c r="I100" s="6" t="s">
        <v>824</v>
      </c>
      <c r="J100" s="6" t="s">
        <v>825</v>
      </c>
      <c r="K100" s="28" t="s">
        <v>167</v>
      </c>
      <c r="L100" s="29"/>
      <c r="M100" s="28"/>
    </row>
    <row r="101" customFormat="false" ht="22.35" hidden="false" customHeight="false" outlineLevel="0" collapsed="false">
      <c r="A101" s="6" t="s">
        <v>826</v>
      </c>
      <c r="B101" s="6" t="s">
        <v>180</v>
      </c>
      <c r="C101" s="6" t="s">
        <v>827</v>
      </c>
      <c r="D101" s="6" t="s">
        <v>828</v>
      </c>
      <c r="E101" s="6" t="s">
        <v>829</v>
      </c>
      <c r="F101" s="6" t="s">
        <v>830</v>
      </c>
      <c r="G101" s="6" t="s">
        <v>222</v>
      </c>
      <c r="H101" s="8" t="s">
        <v>163</v>
      </c>
      <c r="I101" s="6" t="s">
        <v>831</v>
      </c>
      <c r="J101" s="6" t="s">
        <v>804</v>
      </c>
      <c r="K101" s="28" t="s">
        <v>167</v>
      </c>
      <c r="L101" s="29"/>
      <c r="M101" s="28"/>
    </row>
    <row r="102" customFormat="false" ht="22.35" hidden="false" customHeight="false" outlineLevel="0" collapsed="false">
      <c r="A102" s="6" t="s">
        <v>832</v>
      </c>
      <c r="B102" s="6" t="s">
        <v>180</v>
      </c>
      <c r="C102" s="6" t="s">
        <v>833</v>
      </c>
      <c r="D102" s="6" t="s">
        <v>834</v>
      </c>
      <c r="E102" s="6" t="s">
        <v>835</v>
      </c>
      <c r="F102" s="6" t="s">
        <v>836</v>
      </c>
      <c r="G102" s="6" t="s">
        <v>222</v>
      </c>
      <c r="H102" s="8" t="s">
        <v>163</v>
      </c>
      <c r="I102" s="6" t="s">
        <v>837</v>
      </c>
      <c r="J102" s="6" t="s">
        <v>542</v>
      </c>
      <c r="K102" s="28" t="s">
        <v>167</v>
      </c>
      <c r="L102" s="29"/>
      <c r="M102" s="28"/>
    </row>
    <row r="103" customFormat="false" ht="15" hidden="false" customHeight="false" outlineLevel="0" collapsed="false">
      <c r="A103" s="6" t="s">
        <v>838</v>
      </c>
      <c r="B103" s="6" t="s">
        <v>180</v>
      </c>
      <c r="C103" s="6" t="s">
        <v>839</v>
      </c>
      <c r="D103" s="6" t="s">
        <v>681</v>
      </c>
      <c r="E103" s="6" t="s">
        <v>840</v>
      </c>
      <c r="F103" s="6" t="s">
        <v>841</v>
      </c>
      <c r="G103" s="6" t="s">
        <v>842</v>
      </c>
      <c r="H103" s="11" t="s">
        <v>164</v>
      </c>
      <c r="I103" s="6" t="s">
        <v>843</v>
      </c>
      <c r="J103" s="6" t="s">
        <v>844</v>
      </c>
      <c r="K103" s="28" t="s">
        <v>167</v>
      </c>
      <c r="L103" s="29"/>
      <c r="M103" s="28"/>
    </row>
    <row r="104" customFormat="false" ht="22.35" hidden="false" customHeight="false" outlineLevel="0" collapsed="false">
      <c r="A104" s="6" t="s">
        <v>845</v>
      </c>
      <c r="B104" s="6" t="s">
        <v>180</v>
      </c>
      <c r="C104" s="6" t="s">
        <v>846</v>
      </c>
      <c r="D104" s="6" t="s">
        <v>847</v>
      </c>
      <c r="E104" s="6" t="s">
        <v>848</v>
      </c>
      <c r="F104" s="6" t="s">
        <v>849</v>
      </c>
      <c r="G104" s="6" t="s">
        <v>554</v>
      </c>
      <c r="H104" s="11" t="s">
        <v>164</v>
      </c>
      <c r="I104" s="6" t="s">
        <v>850</v>
      </c>
      <c r="J104" s="6" t="s">
        <v>851</v>
      </c>
      <c r="K104" s="28" t="s">
        <v>167</v>
      </c>
      <c r="L104" s="29"/>
      <c r="M104" s="28"/>
    </row>
    <row r="105" customFormat="false" ht="15" hidden="false" customHeight="false" outlineLevel="0" collapsed="false">
      <c r="A105" s="6" t="s">
        <v>852</v>
      </c>
      <c r="B105" s="6" t="s">
        <v>180</v>
      </c>
      <c r="C105" s="6" t="s">
        <v>853</v>
      </c>
      <c r="D105" s="6" t="s">
        <v>854</v>
      </c>
      <c r="E105" s="6" t="s">
        <v>855</v>
      </c>
      <c r="F105" s="6" t="s">
        <v>856</v>
      </c>
      <c r="G105" s="6" t="s">
        <v>305</v>
      </c>
      <c r="H105" s="11" t="s">
        <v>164</v>
      </c>
      <c r="I105" s="6" t="s">
        <v>701</v>
      </c>
      <c r="J105" s="6" t="s">
        <v>857</v>
      </c>
      <c r="K105" s="28" t="s">
        <v>167</v>
      </c>
      <c r="L105" s="29"/>
      <c r="M105" s="28"/>
    </row>
    <row r="106" customFormat="false" ht="32.8" hidden="false" customHeight="false" outlineLevel="0" collapsed="false">
      <c r="A106" s="6" t="s">
        <v>858</v>
      </c>
      <c r="B106" s="6" t="s">
        <v>180</v>
      </c>
      <c r="C106" s="6" t="s">
        <v>859</v>
      </c>
      <c r="D106" s="6" t="s">
        <v>860</v>
      </c>
      <c r="E106" s="6" t="s">
        <v>861</v>
      </c>
      <c r="F106" s="6" t="s">
        <v>862</v>
      </c>
      <c r="G106" s="6" t="s">
        <v>863</v>
      </c>
      <c r="H106" s="8" t="s">
        <v>163</v>
      </c>
      <c r="I106" s="6" t="s">
        <v>555</v>
      </c>
      <c r="J106" s="6" t="s">
        <v>864</v>
      </c>
      <c r="K106" s="28" t="s">
        <v>167</v>
      </c>
      <c r="L106" s="29"/>
      <c r="M106" s="28"/>
    </row>
    <row r="107" customFormat="false" ht="15" hidden="false" customHeight="false" outlineLevel="0" collapsed="false">
      <c r="A107" s="6" t="s">
        <v>865</v>
      </c>
      <c r="B107" s="6" t="s">
        <v>180</v>
      </c>
      <c r="C107" s="6" t="s">
        <v>866</v>
      </c>
      <c r="D107" s="6" t="s">
        <v>867</v>
      </c>
      <c r="E107" s="6" t="s">
        <v>868</v>
      </c>
      <c r="F107" s="6" t="s">
        <v>869</v>
      </c>
      <c r="G107" s="6" t="s">
        <v>870</v>
      </c>
      <c r="H107" s="11" t="s">
        <v>164</v>
      </c>
      <c r="I107" s="6" t="s">
        <v>871</v>
      </c>
      <c r="J107" s="6" t="s">
        <v>595</v>
      </c>
      <c r="K107" s="28" t="s">
        <v>167</v>
      </c>
      <c r="L107" s="29"/>
      <c r="M107" s="28"/>
    </row>
    <row r="108" customFormat="false" ht="22.35" hidden="false" customHeight="false" outlineLevel="0" collapsed="false">
      <c r="A108" s="6" t="s">
        <v>872</v>
      </c>
      <c r="B108" s="6" t="s">
        <v>180</v>
      </c>
      <c r="C108" s="6" t="s">
        <v>873</v>
      </c>
      <c r="D108" s="6" t="s">
        <v>874</v>
      </c>
      <c r="E108" s="6" t="s">
        <v>875</v>
      </c>
      <c r="F108" s="6" t="s">
        <v>876</v>
      </c>
      <c r="G108" s="6" t="s">
        <v>222</v>
      </c>
      <c r="H108" s="11" t="s">
        <v>164</v>
      </c>
      <c r="I108" s="6" t="s">
        <v>541</v>
      </c>
      <c r="J108" s="6" t="s">
        <v>575</v>
      </c>
      <c r="K108" s="28" t="s">
        <v>167</v>
      </c>
      <c r="L108" s="29"/>
      <c r="M108" s="28"/>
    </row>
    <row r="109" customFormat="false" ht="15" hidden="false" customHeight="false" outlineLevel="0" collapsed="false">
      <c r="A109" s="6" t="s">
        <v>877</v>
      </c>
      <c r="B109" s="6" t="s">
        <v>180</v>
      </c>
      <c r="C109" s="6" t="s">
        <v>878</v>
      </c>
      <c r="D109" s="6" t="s">
        <v>879</v>
      </c>
      <c r="E109" s="6" t="s">
        <v>880</v>
      </c>
      <c r="F109" s="6" t="s">
        <v>881</v>
      </c>
      <c r="G109" s="6" t="s">
        <v>222</v>
      </c>
      <c r="H109" s="8" t="s">
        <v>163</v>
      </c>
      <c r="I109" s="6" t="s">
        <v>882</v>
      </c>
      <c r="J109" s="6" t="s">
        <v>542</v>
      </c>
      <c r="K109" s="28" t="s">
        <v>167</v>
      </c>
      <c r="L109" s="29"/>
      <c r="M109" s="28"/>
    </row>
    <row r="110" customFormat="false" ht="22.35" hidden="false" customHeight="false" outlineLevel="0" collapsed="false">
      <c r="A110" s="6" t="s">
        <v>883</v>
      </c>
      <c r="B110" s="6" t="s">
        <v>180</v>
      </c>
      <c r="C110" s="6" t="s">
        <v>884</v>
      </c>
      <c r="D110" s="6" t="s">
        <v>885</v>
      </c>
      <c r="E110" s="6" t="s">
        <v>886</v>
      </c>
      <c r="F110" s="6" t="s">
        <v>887</v>
      </c>
      <c r="G110" s="6" t="s">
        <v>888</v>
      </c>
      <c r="H110" s="8" t="s">
        <v>163</v>
      </c>
      <c r="I110" s="6" t="s">
        <v>889</v>
      </c>
      <c r="J110" s="6" t="s">
        <v>890</v>
      </c>
      <c r="K110" s="28" t="s">
        <v>167</v>
      </c>
      <c r="L110" s="29"/>
      <c r="M110" s="28"/>
    </row>
    <row r="111" customFormat="false" ht="22.35" hidden="false" customHeight="false" outlineLevel="0" collapsed="false">
      <c r="A111" s="6" t="s">
        <v>891</v>
      </c>
      <c r="B111" s="6" t="s">
        <v>180</v>
      </c>
      <c r="C111" s="6" t="s">
        <v>892</v>
      </c>
      <c r="D111" s="6" t="s">
        <v>893</v>
      </c>
      <c r="E111" s="6" t="s">
        <v>894</v>
      </c>
      <c r="F111" s="6" t="s">
        <v>895</v>
      </c>
      <c r="G111" s="6" t="s">
        <v>222</v>
      </c>
      <c r="H111" s="11" t="s">
        <v>164</v>
      </c>
      <c r="I111" s="6" t="s">
        <v>896</v>
      </c>
      <c r="J111" s="6" t="s">
        <v>897</v>
      </c>
      <c r="K111" s="28" t="s">
        <v>167</v>
      </c>
      <c r="L111" s="29"/>
      <c r="M111" s="28"/>
    </row>
    <row r="112" customFormat="false" ht="22.35" hidden="false" customHeight="false" outlineLevel="0" collapsed="false">
      <c r="A112" s="6" t="s">
        <v>898</v>
      </c>
      <c r="B112" s="6" t="s">
        <v>180</v>
      </c>
      <c r="C112" s="6" t="s">
        <v>899</v>
      </c>
      <c r="D112" s="6" t="s">
        <v>900</v>
      </c>
      <c r="E112" s="6" t="s">
        <v>901</v>
      </c>
      <c r="F112" s="6" t="s">
        <v>902</v>
      </c>
      <c r="G112" s="6" t="s">
        <v>203</v>
      </c>
      <c r="H112" s="7" t="s">
        <v>165</v>
      </c>
      <c r="I112" s="6" t="s">
        <v>203</v>
      </c>
      <c r="J112" s="6" t="s">
        <v>903</v>
      </c>
      <c r="K112" s="28" t="s">
        <v>167</v>
      </c>
      <c r="L112" s="29"/>
      <c r="M112" s="28"/>
    </row>
    <row r="113" customFormat="false" ht="15" hidden="false" customHeight="false" outlineLevel="0" collapsed="false">
      <c r="A113" s="6" t="s">
        <v>904</v>
      </c>
      <c r="B113" s="6" t="s">
        <v>180</v>
      </c>
      <c r="C113" s="6" t="s">
        <v>905</v>
      </c>
      <c r="D113" s="6" t="s">
        <v>906</v>
      </c>
      <c r="E113" s="6" t="s">
        <v>907</v>
      </c>
      <c r="F113" s="6" t="s">
        <v>908</v>
      </c>
      <c r="G113" s="6" t="s">
        <v>222</v>
      </c>
      <c r="H113" s="11" t="s">
        <v>164</v>
      </c>
      <c r="I113" s="6" t="s">
        <v>909</v>
      </c>
      <c r="J113" s="6" t="s">
        <v>349</v>
      </c>
      <c r="K113" s="28" t="s">
        <v>167</v>
      </c>
      <c r="L113" s="29"/>
      <c r="M113" s="28"/>
    </row>
    <row r="114" customFormat="false" ht="22.35" hidden="false" customHeight="false" outlineLevel="0" collapsed="false">
      <c r="A114" s="6" t="s">
        <v>910</v>
      </c>
      <c r="B114" s="6" t="s">
        <v>180</v>
      </c>
      <c r="C114" s="6" t="s">
        <v>911</v>
      </c>
      <c r="D114" s="6" t="s">
        <v>912</v>
      </c>
      <c r="E114" s="6" t="s">
        <v>913</v>
      </c>
      <c r="F114" s="6" t="s">
        <v>914</v>
      </c>
      <c r="G114" s="6" t="s">
        <v>915</v>
      </c>
      <c r="H114" s="8" t="s">
        <v>163</v>
      </c>
      <c r="I114" s="6" t="s">
        <v>916</v>
      </c>
      <c r="J114" s="6" t="s">
        <v>917</v>
      </c>
      <c r="K114" s="28" t="s">
        <v>167</v>
      </c>
      <c r="L114" s="29"/>
      <c r="M114" s="28"/>
    </row>
    <row r="115" customFormat="false" ht="22.35" hidden="false" customHeight="false" outlineLevel="0" collapsed="false">
      <c r="A115" s="6" t="s">
        <v>918</v>
      </c>
      <c r="B115" s="6" t="s">
        <v>180</v>
      </c>
      <c r="C115" s="6" t="s">
        <v>919</v>
      </c>
      <c r="D115" s="6" t="s">
        <v>920</v>
      </c>
      <c r="E115" s="6" t="s">
        <v>921</v>
      </c>
      <c r="F115" s="6" t="s">
        <v>922</v>
      </c>
      <c r="G115" s="6" t="s">
        <v>627</v>
      </c>
      <c r="H115" s="11" t="s">
        <v>164</v>
      </c>
      <c r="I115" s="6" t="s">
        <v>923</v>
      </c>
      <c r="J115" s="6" t="s">
        <v>924</v>
      </c>
      <c r="K115" s="28" t="s">
        <v>167</v>
      </c>
      <c r="L115" s="29"/>
      <c r="M115" s="28"/>
    </row>
    <row r="116" customFormat="false" ht="22.35" hidden="false" customHeight="false" outlineLevel="0" collapsed="false">
      <c r="A116" s="6" t="s">
        <v>925</v>
      </c>
      <c r="B116" s="6" t="s">
        <v>180</v>
      </c>
      <c r="C116" s="6" t="s">
        <v>926</v>
      </c>
      <c r="D116" s="6" t="s">
        <v>681</v>
      </c>
      <c r="E116" s="6" t="s">
        <v>927</v>
      </c>
      <c r="F116" s="6" t="s">
        <v>928</v>
      </c>
      <c r="G116" s="6" t="s">
        <v>601</v>
      </c>
      <c r="H116" s="11" t="s">
        <v>164</v>
      </c>
      <c r="I116" s="6" t="s">
        <v>929</v>
      </c>
      <c r="J116" s="6" t="s">
        <v>349</v>
      </c>
      <c r="K116" s="28" t="s">
        <v>167</v>
      </c>
      <c r="L116" s="29"/>
      <c r="M116" s="28"/>
    </row>
    <row r="117" customFormat="false" ht="15" hidden="false" customHeight="false" outlineLevel="0" collapsed="false">
      <c r="A117" s="6" t="s">
        <v>930</v>
      </c>
      <c r="B117" s="6" t="s">
        <v>180</v>
      </c>
      <c r="C117" s="6" t="s">
        <v>931</v>
      </c>
      <c r="D117" s="6" t="s">
        <v>932</v>
      </c>
      <c r="E117" s="6" t="s">
        <v>933</v>
      </c>
      <c r="F117" s="6" t="s">
        <v>934</v>
      </c>
      <c r="G117" s="6" t="s">
        <v>360</v>
      </c>
      <c r="H117" s="7" t="s">
        <v>165</v>
      </c>
      <c r="I117" s="6" t="s">
        <v>767</v>
      </c>
      <c r="J117" s="6" t="s">
        <v>527</v>
      </c>
      <c r="K117" s="28" t="s">
        <v>167</v>
      </c>
      <c r="L117" s="29"/>
      <c r="M117" s="28"/>
    </row>
    <row r="118" customFormat="false" ht="22.35" hidden="false" customHeight="false" outlineLevel="0" collapsed="false">
      <c r="A118" s="6" t="s">
        <v>935</v>
      </c>
      <c r="B118" s="6" t="s">
        <v>180</v>
      </c>
      <c r="C118" s="6" t="s">
        <v>936</v>
      </c>
      <c r="D118" s="6" t="s">
        <v>937</v>
      </c>
      <c r="E118" s="6" t="s">
        <v>938</v>
      </c>
      <c r="F118" s="6" t="s">
        <v>939</v>
      </c>
      <c r="G118" s="6" t="s">
        <v>488</v>
      </c>
      <c r="H118" s="11" t="s">
        <v>164</v>
      </c>
      <c r="I118" s="6" t="s">
        <v>940</v>
      </c>
      <c r="J118" s="6" t="s">
        <v>941</v>
      </c>
      <c r="K118" s="28" t="s">
        <v>167</v>
      </c>
      <c r="L118" s="29"/>
      <c r="M118" s="28"/>
    </row>
    <row r="119" customFormat="false" ht="15" hidden="false" customHeight="false" outlineLevel="0" collapsed="false">
      <c r="A119" s="6" t="s">
        <v>942</v>
      </c>
      <c r="B119" s="6" t="s">
        <v>180</v>
      </c>
      <c r="C119" s="6" t="s">
        <v>943</v>
      </c>
      <c r="D119" s="6" t="s">
        <v>854</v>
      </c>
      <c r="E119" s="6" t="s">
        <v>944</v>
      </c>
      <c r="F119" s="6" t="s">
        <v>945</v>
      </c>
      <c r="G119" s="6" t="s">
        <v>305</v>
      </c>
      <c r="H119" s="11" t="s">
        <v>164</v>
      </c>
      <c r="I119" s="6" t="s">
        <v>701</v>
      </c>
      <c r="J119" s="6" t="s">
        <v>857</v>
      </c>
      <c r="K119" s="28" t="s">
        <v>167</v>
      </c>
      <c r="L119" s="29"/>
      <c r="M119" s="28"/>
    </row>
    <row r="120" customFormat="false" ht="43.25" hidden="false" customHeight="false" outlineLevel="0" collapsed="false">
      <c r="A120" s="6" t="s">
        <v>946</v>
      </c>
      <c r="B120" s="6" t="s">
        <v>180</v>
      </c>
      <c r="C120" s="6" t="s">
        <v>947</v>
      </c>
      <c r="D120" s="6" t="s">
        <v>948</v>
      </c>
      <c r="E120" s="6" t="s">
        <v>949</v>
      </c>
      <c r="F120" s="6" t="s">
        <v>950</v>
      </c>
      <c r="G120" s="6" t="s">
        <v>222</v>
      </c>
      <c r="H120" s="8" t="s">
        <v>163</v>
      </c>
      <c r="I120" s="6" t="s">
        <v>951</v>
      </c>
      <c r="J120" s="6" t="s">
        <v>952</v>
      </c>
      <c r="K120" s="28" t="s">
        <v>167</v>
      </c>
      <c r="L120" s="29"/>
      <c r="M120" s="28"/>
    </row>
    <row r="121" customFormat="false" ht="22.35" hidden="false" customHeight="false" outlineLevel="0" collapsed="false">
      <c r="A121" s="6" t="s">
        <v>953</v>
      </c>
      <c r="B121" s="6" t="s">
        <v>180</v>
      </c>
      <c r="C121" s="6" t="s">
        <v>954</v>
      </c>
      <c r="D121" s="6" t="s">
        <v>955</v>
      </c>
      <c r="E121" s="6" t="s">
        <v>956</v>
      </c>
      <c r="F121" s="6" t="s">
        <v>957</v>
      </c>
      <c r="G121" s="6" t="s">
        <v>360</v>
      </c>
      <c r="H121" s="11" t="s">
        <v>164</v>
      </c>
      <c r="I121" s="6" t="s">
        <v>958</v>
      </c>
      <c r="J121" s="6" t="s">
        <v>959</v>
      </c>
      <c r="K121" s="28" t="s">
        <v>167</v>
      </c>
      <c r="L121" s="29"/>
      <c r="M121" s="28"/>
    </row>
    <row r="122" customFormat="false" ht="22.35" hidden="false" customHeight="false" outlineLevel="0" collapsed="false">
      <c r="A122" s="6" t="s">
        <v>960</v>
      </c>
      <c r="B122" s="6" t="s">
        <v>180</v>
      </c>
      <c r="C122" s="6" t="s">
        <v>961</v>
      </c>
      <c r="D122" s="6" t="s">
        <v>962</v>
      </c>
      <c r="E122" s="6" t="s">
        <v>963</v>
      </c>
      <c r="F122" s="6" t="s">
        <v>964</v>
      </c>
      <c r="G122" s="6" t="s">
        <v>222</v>
      </c>
      <c r="H122" s="8" t="s">
        <v>163</v>
      </c>
      <c r="I122" s="6" t="s">
        <v>314</v>
      </c>
      <c r="J122" s="6" t="s">
        <v>315</v>
      </c>
      <c r="K122" s="28" t="s">
        <v>167</v>
      </c>
      <c r="L122" s="29"/>
      <c r="M122" s="28"/>
    </row>
    <row r="123" customFormat="false" ht="15" hidden="false" customHeight="false" outlineLevel="0" collapsed="false">
      <c r="A123" s="6" t="s">
        <v>965</v>
      </c>
      <c r="B123" s="6" t="s">
        <v>180</v>
      </c>
      <c r="C123" s="6" t="s">
        <v>966</v>
      </c>
      <c r="D123" s="6" t="s">
        <v>967</v>
      </c>
      <c r="E123" s="6" t="s">
        <v>968</v>
      </c>
      <c r="F123" s="6" t="s">
        <v>969</v>
      </c>
      <c r="G123" s="6" t="s">
        <v>554</v>
      </c>
      <c r="H123" s="11" t="s">
        <v>164</v>
      </c>
      <c r="I123" s="6" t="s">
        <v>970</v>
      </c>
      <c r="J123" s="6" t="s">
        <v>349</v>
      </c>
      <c r="K123" s="28" t="s">
        <v>167</v>
      </c>
      <c r="L123" s="29"/>
      <c r="M123" s="28"/>
    </row>
    <row r="124" customFormat="false" ht="15" hidden="false" customHeight="false" outlineLevel="0" collapsed="false">
      <c r="A124" s="6" t="s">
        <v>971</v>
      </c>
      <c r="B124" s="6" t="s">
        <v>180</v>
      </c>
      <c r="C124" s="6" t="s">
        <v>972</v>
      </c>
      <c r="D124" s="6" t="s">
        <v>973</v>
      </c>
      <c r="E124" s="6" t="s">
        <v>974</v>
      </c>
      <c r="F124" s="6" t="s">
        <v>975</v>
      </c>
      <c r="G124" s="6" t="s">
        <v>976</v>
      </c>
      <c r="H124" s="8" t="s">
        <v>163</v>
      </c>
      <c r="I124" s="6" t="s">
        <v>977</v>
      </c>
      <c r="J124" s="6" t="s">
        <v>978</v>
      </c>
      <c r="K124" s="28" t="s">
        <v>167</v>
      </c>
      <c r="L124" s="29"/>
      <c r="M124" s="28"/>
    </row>
    <row r="125" customFormat="false" ht="22.35" hidden="false" customHeight="false" outlineLevel="0" collapsed="false">
      <c r="A125" s="6" t="s">
        <v>979</v>
      </c>
      <c r="B125" s="6" t="s">
        <v>180</v>
      </c>
      <c r="C125" s="6" t="s">
        <v>980</v>
      </c>
      <c r="D125" s="6" t="s">
        <v>981</v>
      </c>
      <c r="E125" s="6" t="s">
        <v>982</v>
      </c>
      <c r="F125" s="6" t="s">
        <v>983</v>
      </c>
      <c r="G125" s="6" t="s">
        <v>488</v>
      </c>
      <c r="H125" s="11" t="s">
        <v>164</v>
      </c>
      <c r="I125" s="6" t="s">
        <v>984</v>
      </c>
      <c r="J125" s="6" t="s">
        <v>575</v>
      </c>
      <c r="K125" s="28" t="s">
        <v>167</v>
      </c>
      <c r="L125" s="29"/>
      <c r="M125" s="28"/>
    </row>
    <row r="126" customFormat="false" ht="15" hidden="false" customHeight="false" outlineLevel="0" collapsed="false">
      <c r="A126" s="6" t="s">
        <v>985</v>
      </c>
      <c r="B126" s="6" t="s">
        <v>180</v>
      </c>
      <c r="C126" s="6" t="s">
        <v>986</v>
      </c>
      <c r="D126" s="6" t="s">
        <v>987</v>
      </c>
      <c r="E126" s="6" t="s">
        <v>988</v>
      </c>
      <c r="F126" s="6" t="s">
        <v>989</v>
      </c>
      <c r="G126" s="6" t="s">
        <v>870</v>
      </c>
      <c r="H126" s="8" t="s">
        <v>163</v>
      </c>
      <c r="I126" s="6" t="s">
        <v>990</v>
      </c>
      <c r="J126" s="6" t="s">
        <v>991</v>
      </c>
      <c r="K126" s="28" t="s">
        <v>167</v>
      </c>
      <c r="L126" s="29"/>
      <c r="M126" s="28"/>
    </row>
    <row r="127" customFormat="false" ht="32.8" hidden="false" customHeight="false" outlineLevel="0" collapsed="false">
      <c r="A127" s="6" t="s">
        <v>992</v>
      </c>
      <c r="B127" s="6" t="s">
        <v>180</v>
      </c>
      <c r="C127" s="6" t="s">
        <v>993</v>
      </c>
      <c r="D127" s="6" t="s">
        <v>994</v>
      </c>
      <c r="E127" s="6" t="s">
        <v>995</v>
      </c>
      <c r="F127" s="6" t="s">
        <v>996</v>
      </c>
      <c r="G127" s="6" t="s">
        <v>997</v>
      </c>
      <c r="H127" s="11" t="s">
        <v>164</v>
      </c>
      <c r="I127" s="6" t="s">
        <v>998</v>
      </c>
      <c r="J127" s="6" t="s">
        <v>575</v>
      </c>
      <c r="K127" s="28" t="s">
        <v>167</v>
      </c>
      <c r="L127" s="29"/>
      <c r="M127" s="28"/>
    </row>
    <row r="128" customFormat="false" ht="43.25" hidden="false" customHeight="false" outlineLevel="0" collapsed="false">
      <c r="A128" s="6" t="s">
        <v>999</v>
      </c>
      <c r="B128" s="6" t="s">
        <v>180</v>
      </c>
      <c r="C128" s="6" t="s">
        <v>1000</v>
      </c>
      <c r="D128" s="6" t="s">
        <v>1001</v>
      </c>
      <c r="E128" s="6" t="s">
        <v>1002</v>
      </c>
      <c r="F128" s="6" t="s">
        <v>1003</v>
      </c>
      <c r="G128" s="6" t="s">
        <v>291</v>
      </c>
      <c r="H128" s="8" t="s">
        <v>163</v>
      </c>
      <c r="I128" s="6" t="s">
        <v>824</v>
      </c>
      <c r="J128" s="6" t="s">
        <v>575</v>
      </c>
      <c r="K128" s="28" t="s">
        <v>167</v>
      </c>
      <c r="L128" s="29"/>
      <c r="M128" s="28"/>
    </row>
    <row r="129" customFormat="false" ht="22.35" hidden="false" customHeight="false" outlineLevel="0" collapsed="false">
      <c r="A129" s="6" t="s">
        <v>1004</v>
      </c>
      <c r="B129" s="6" t="s">
        <v>180</v>
      </c>
      <c r="C129" s="6" t="s">
        <v>1005</v>
      </c>
      <c r="D129" s="6" t="s">
        <v>1006</v>
      </c>
      <c r="E129" s="6" t="s">
        <v>1007</v>
      </c>
      <c r="F129" s="6" t="s">
        <v>1008</v>
      </c>
      <c r="G129" s="6" t="s">
        <v>222</v>
      </c>
      <c r="H129" s="11" t="s">
        <v>164</v>
      </c>
      <c r="I129" s="6" t="s">
        <v>1009</v>
      </c>
      <c r="J129" s="6" t="s">
        <v>575</v>
      </c>
      <c r="K129" s="28" t="s">
        <v>167</v>
      </c>
      <c r="L129" s="29"/>
      <c r="M129" s="28"/>
    </row>
    <row r="130" customFormat="false" ht="53.7" hidden="false" customHeight="false" outlineLevel="0" collapsed="false">
      <c r="A130" s="6" t="s">
        <v>1010</v>
      </c>
      <c r="B130" s="6" t="s">
        <v>180</v>
      </c>
      <c r="C130" s="6" t="s">
        <v>1011</v>
      </c>
      <c r="D130" s="6" t="s">
        <v>1012</v>
      </c>
      <c r="E130" s="6" t="s">
        <v>1013</v>
      </c>
      <c r="F130" s="6" t="s">
        <v>1014</v>
      </c>
      <c r="G130" s="6" t="s">
        <v>1015</v>
      </c>
      <c r="H130" s="8" t="s">
        <v>163</v>
      </c>
      <c r="I130" s="6" t="s">
        <v>383</v>
      </c>
      <c r="J130" s="6" t="s">
        <v>265</v>
      </c>
      <c r="K130" s="28" t="s">
        <v>167</v>
      </c>
      <c r="L130" s="29"/>
      <c r="M130" s="28"/>
    </row>
    <row r="131" customFormat="false" ht="15" hidden="false" customHeight="false" outlineLevel="0" collapsed="false">
      <c r="A131" s="6" t="s">
        <v>1016</v>
      </c>
      <c r="B131" s="6" t="s">
        <v>180</v>
      </c>
      <c r="C131" s="6" t="s">
        <v>1017</v>
      </c>
      <c r="D131" s="6" t="s">
        <v>1018</v>
      </c>
      <c r="E131" s="6" t="s">
        <v>1019</v>
      </c>
      <c r="F131" s="6" t="s">
        <v>1020</v>
      </c>
      <c r="G131" s="6" t="s">
        <v>462</v>
      </c>
      <c r="H131" s="8" t="s">
        <v>163</v>
      </c>
      <c r="I131" s="6" t="s">
        <v>1021</v>
      </c>
      <c r="J131" s="6" t="s">
        <v>265</v>
      </c>
      <c r="K131" s="28" t="s">
        <v>167</v>
      </c>
      <c r="L131" s="29"/>
      <c r="M131" s="28"/>
    </row>
    <row r="132" customFormat="false" ht="22.35" hidden="false" customHeight="false" outlineLevel="0" collapsed="false">
      <c r="A132" s="6" t="s">
        <v>1022</v>
      </c>
      <c r="B132" s="6" t="s">
        <v>180</v>
      </c>
      <c r="C132" s="6" t="s">
        <v>1023</v>
      </c>
      <c r="D132" s="6" t="s">
        <v>1024</v>
      </c>
      <c r="E132" s="6" t="s">
        <v>1025</v>
      </c>
      <c r="F132" s="6" t="s">
        <v>1026</v>
      </c>
      <c r="G132" s="6" t="s">
        <v>1027</v>
      </c>
      <c r="H132" s="11" t="s">
        <v>164</v>
      </c>
      <c r="I132" s="6" t="s">
        <v>1028</v>
      </c>
      <c r="J132" s="6" t="s">
        <v>349</v>
      </c>
      <c r="K132" s="28" t="s">
        <v>167</v>
      </c>
      <c r="L132" s="29"/>
      <c r="M132" s="28"/>
    </row>
    <row r="133" customFormat="false" ht="22.35" hidden="false" customHeight="false" outlineLevel="0" collapsed="false">
      <c r="A133" s="6" t="s">
        <v>1029</v>
      </c>
      <c r="B133" s="6" t="s">
        <v>180</v>
      </c>
      <c r="C133" s="6" t="s">
        <v>1030</v>
      </c>
      <c r="D133" s="6" t="s">
        <v>1031</v>
      </c>
      <c r="E133" s="6" t="s">
        <v>1032</v>
      </c>
      <c r="F133" s="6" t="s">
        <v>1033</v>
      </c>
      <c r="G133" s="6" t="s">
        <v>863</v>
      </c>
      <c r="H133" s="11" t="s">
        <v>164</v>
      </c>
      <c r="I133" s="6" t="s">
        <v>555</v>
      </c>
      <c r="J133" s="6" t="s">
        <v>575</v>
      </c>
      <c r="K133" s="28" t="s">
        <v>167</v>
      </c>
      <c r="L133" s="29"/>
      <c r="M133" s="28"/>
    </row>
    <row r="134" customFormat="false" ht="53.7" hidden="false" customHeight="false" outlineLevel="0" collapsed="false">
      <c r="A134" s="6" t="s">
        <v>1034</v>
      </c>
      <c r="B134" s="6" t="s">
        <v>180</v>
      </c>
      <c r="C134" s="6" t="s">
        <v>1035</v>
      </c>
      <c r="D134" s="6" t="s">
        <v>1036</v>
      </c>
      <c r="E134" s="6" t="s">
        <v>1037</v>
      </c>
      <c r="F134" s="6" t="s">
        <v>1038</v>
      </c>
      <c r="G134" s="6" t="s">
        <v>1039</v>
      </c>
      <c r="H134" s="8" t="s">
        <v>163</v>
      </c>
      <c r="I134" s="6" t="s">
        <v>1040</v>
      </c>
      <c r="J134" s="6" t="s">
        <v>349</v>
      </c>
      <c r="K134" s="28" t="s">
        <v>167</v>
      </c>
      <c r="L134" s="29"/>
      <c r="M134" s="28"/>
    </row>
    <row r="135" customFormat="false" ht="22.35" hidden="false" customHeight="false" outlineLevel="0" collapsed="false">
      <c r="A135" s="6" t="s">
        <v>1041</v>
      </c>
      <c r="B135" s="6" t="s">
        <v>180</v>
      </c>
      <c r="C135" s="6" t="s">
        <v>1042</v>
      </c>
      <c r="D135" s="6" t="s">
        <v>1043</v>
      </c>
      <c r="E135" s="6" t="s">
        <v>1044</v>
      </c>
      <c r="F135" s="6" t="s">
        <v>1045</v>
      </c>
      <c r="G135" s="6" t="s">
        <v>488</v>
      </c>
      <c r="H135" s="11" t="s">
        <v>164</v>
      </c>
      <c r="I135" s="6" t="s">
        <v>1046</v>
      </c>
      <c r="J135" s="6" t="s">
        <v>349</v>
      </c>
      <c r="K135" s="28" t="s">
        <v>167</v>
      </c>
      <c r="L135" s="29"/>
      <c r="M135" s="28"/>
    </row>
    <row r="136" customFormat="false" ht="15" hidden="false" customHeight="false" outlineLevel="0" collapsed="false">
      <c r="A136" s="6" t="s">
        <v>1047</v>
      </c>
      <c r="B136" s="6" t="s">
        <v>180</v>
      </c>
      <c r="C136" s="6" t="s">
        <v>1048</v>
      </c>
      <c r="D136" s="6" t="s">
        <v>1049</v>
      </c>
      <c r="E136" s="6" t="s">
        <v>1050</v>
      </c>
      <c r="F136" s="6" t="s">
        <v>1051</v>
      </c>
      <c r="G136" s="6" t="s">
        <v>870</v>
      </c>
      <c r="H136" s="8" t="s">
        <v>163</v>
      </c>
      <c r="I136" s="6" t="s">
        <v>533</v>
      </c>
      <c r="J136" s="6" t="s">
        <v>595</v>
      </c>
      <c r="K136" s="28" t="s">
        <v>167</v>
      </c>
      <c r="L136" s="29"/>
      <c r="M136" s="28"/>
    </row>
    <row r="137" customFormat="false" ht="22.35" hidden="false" customHeight="false" outlineLevel="0" collapsed="false">
      <c r="A137" s="6" t="s">
        <v>1052</v>
      </c>
      <c r="B137" s="6" t="s">
        <v>180</v>
      </c>
      <c r="C137" s="6" t="s">
        <v>1053</v>
      </c>
      <c r="D137" s="6" t="s">
        <v>912</v>
      </c>
      <c r="E137" s="6" t="s">
        <v>1054</v>
      </c>
      <c r="F137" s="6" t="s">
        <v>1055</v>
      </c>
      <c r="G137" s="6" t="s">
        <v>870</v>
      </c>
      <c r="H137" s="8" t="s">
        <v>163</v>
      </c>
      <c r="I137" s="6" t="s">
        <v>1056</v>
      </c>
      <c r="J137" s="6" t="s">
        <v>595</v>
      </c>
      <c r="K137" s="28" t="s">
        <v>167</v>
      </c>
      <c r="L137" s="29"/>
      <c r="M137" s="28"/>
    </row>
    <row r="138" customFormat="false" ht="15" hidden="false" customHeight="false" outlineLevel="0" collapsed="false">
      <c r="A138" s="6" t="s">
        <v>1057</v>
      </c>
      <c r="B138" s="6" t="s">
        <v>180</v>
      </c>
      <c r="C138" s="6" t="s">
        <v>1058</v>
      </c>
      <c r="D138" s="6" t="s">
        <v>1059</v>
      </c>
      <c r="E138" s="6" t="s">
        <v>1060</v>
      </c>
      <c r="F138" s="6" t="s">
        <v>1061</v>
      </c>
      <c r="G138" s="6" t="s">
        <v>222</v>
      </c>
      <c r="H138" s="11" t="s">
        <v>164</v>
      </c>
      <c r="I138" s="6" t="s">
        <v>1062</v>
      </c>
      <c r="J138" s="6" t="s">
        <v>1063</v>
      </c>
      <c r="K138" s="28" t="s">
        <v>167</v>
      </c>
      <c r="L138" s="29"/>
      <c r="M138" s="28"/>
    </row>
    <row r="139" customFormat="false" ht="22.35" hidden="false" customHeight="false" outlineLevel="0" collapsed="false">
      <c r="A139" s="6" t="s">
        <v>1064</v>
      </c>
      <c r="B139" s="6" t="s">
        <v>180</v>
      </c>
      <c r="C139" s="6" t="s">
        <v>1065</v>
      </c>
      <c r="D139" s="6" t="s">
        <v>1066</v>
      </c>
      <c r="E139" s="6" t="s">
        <v>1067</v>
      </c>
      <c r="F139" s="6" t="s">
        <v>1068</v>
      </c>
      <c r="G139" s="6" t="s">
        <v>627</v>
      </c>
      <c r="H139" s="8" t="s">
        <v>163</v>
      </c>
      <c r="I139" s="6" t="s">
        <v>1069</v>
      </c>
      <c r="J139" s="6" t="s">
        <v>1070</v>
      </c>
      <c r="K139" s="28" t="s">
        <v>167</v>
      </c>
      <c r="L139" s="29"/>
      <c r="M139" s="28"/>
    </row>
    <row r="140" customFormat="false" ht="43.25" hidden="false" customHeight="false" outlineLevel="0" collapsed="false">
      <c r="A140" s="6" t="s">
        <v>1071</v>
      </c>
      <c r="B140" s="6" t="s">
        <v>180</v>
      </c>
      <c r="C140" s="6" t="s">
        <v>1072</v>
      </c>
      <c r="D140" s="6" t="s">
        <v>1073</v>
      </c>
      <c r="E140" s="6" t="s">
        <v>1074</v>
      </c>
      <c r="F140" s="6" t="s">
        <v>1075</v>
      </c>
      <c r="G140" s="6" t="s">
        <v>222</v>
      </c>
      <c r="H140" s="11" t="s">
        <v>164</v>
      </c>
      <c r="I140" s="6" t="s">
        <v>541</v>
      </c>
      <c r="J140" s="6" t="s">
        <v>575</v>
      </c>
      <c r="K140" s="28" t="s">
        <v>167</v>
      </c>
      <c r="L140" s="29"/>
      <c r="M140" s="28"/>
    </row>
    <row r="141" customFormat="false" ht="32.8" hidden="false" customHeight="false" outlineLevel="0" collapsed="false">
      <c r="A141" s="6" t="s">
        <v>1076</v>
      </c>
      <c r="B141" s="6" t="s">
        <v>180</v>
      </c>
      <c r="C141" s="6" t="s">
        <v>1077</v>
      </c>
      <c r="D141" s="6" t="s">
        <v>1078</v>
      </c>
      <c r="E141" s="6" t="s">
        <v>1079</v>
      </c>
      <c r="F141" s="6" t="s">
        <v>1080</v>
      </c>
      <c r="G141" s="6" t="s">
        <v>222</v>
      </c>
      <c r="H141" s="11" t="s">
        <v>164</v>
      </c>
      <c r="I141" s="6" t="s">
        <v>1009</v>
      </c>
      <c r="J141" s="6" t="s">
        <v>575</v>
      </c>
      <c r="K141" s="28" t="s">
        <v>167</v>
      </c>
      <c r="L141" s="29"/>
      <c r="M141" s="28"/>
    </row>
    <row r="142" customFormat="false" ht="22.35" hidden="false" customHeight="false" outlineLevel="0" collapsed="false">
      <c r="A142" s="6" t="s">
        <v>1081</v>
      </c>
      <c r="B142" s="6" t="s">
        <v>180</v>
      </c>
      <c r="C142" s="6" t="s">
        <v>1082</v>
      </c>
      <c r="D142" s="6" t="s">
        <v>453</v>
      </c>
      <c r="E142" s="6" t="s">
        <v>1083</v>
      </c>
      <c r="F142" s="6" t="s">
        <v>1084</v>
      </c>
      <c r="G142" s="6" t="s">
        <v>462</v>
      </c>
      <c r="H142" s="8" t="s">
        <v>163</v>
      </c>
      <c r="I142" s="6" t="s">
        <v>1085</v>
      </c>
      <c r="J142" s="6" t="s">
        <v>265</v>
      </c>
      <c r="K142" s="28" t="s">
        <v>167</v>
      </c>
      <c r="L142" s="29"/>
      <c r="M142" s="28"/>
    </row>
  </sheetData>
  <autoFilter ref="A1:M142"/>
  <dataValidations count="1">
    <dataValidation allowBlank="true" errorStyle="stop" operator="between" showDropDown="false" showErrorMessage="false" showInputMessage="false" sqref="K2:K142" type="list">
      <formula1>"Pending,Pass,Fail,N.A."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3" min="11" style="0" width="12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9"/>
    <col collapsed="false" customWidth="true" hidden="false" outlineLevel="0" max="17" min="17" style="0" width="13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14"/>
    <col collapsed="false" customWidth="true" hidden="false" outlineLevel="0" max="22" min="22" style="0" width="24"/>
    <col collapsed="false" customWidth="true" hidden="false" outlineLevel="0" max="23" min="23" style="0" width="20"/>
  </cols>
  <sheetData>
    <row r="1" customFormat="false" ht="35.05" hidden="false" customHeight="false" outlineLevel="0" collapsed="false">
      <c r="A1" s="13" t="s">
        <v>1086</v>
      </c>
      <c r="B1" s="13" t="s">
        <v>152</v>
      </c>
      <c r="C1" s="13" t="s">
        <v>1087</v>
      </c>
      <c r="D1" s="13" t="s">
        <v>1088</v>
      </c>
      <c r="E1" s="13" t="s">
        <v>1089</v>
      </c>
      <c r="F1" s="13" t="s">
        <v>1090</v>
      </c>
      <c r="G1" s="13" t="s">
        <v>1091</v>
      </c>
      <c r="H1" s="13" t="s">
        <v>1092</v>
      </c>
      <c r="I1" s="13" t="s">
        <v>1093</v>
      </c>
      <c r="J1" s="13" t="s">
        <v>1094</v>
      </c>
      <c r="K1" s="13" t="s">
        <v>1095</v>
      </c>
      <c r="L1" s="13" t="s">
        <v>1096</v>
      </c>
      <c r="M1" s="13" t="s">
        <v>1097</v>
      </c>
      <c r="N1" s="13" t="s">
        <v>1098</v>
      </c>
      <c r="O1" s="13" t="s">
        <v>1099</v>
      </c>
      <c r="P1" s="13" t="s">
        <v>1100</v>
      </c>
      <c r="Q1" s="13" t="s">
        <v>1101</v>
      </c>
      <c r="R1" s="13" t="s">
        <v>1102</v>
      </c>
      <c r="S1" s="13" t="s">
        <v>1103</v>
      </c>
      <c r="T1" s="13" t="s">
        <v>1104</v>
      </c>
      <c r="U1" s="13" t="s">
        <v>1105</v>
      </c>
      <c r="V1" s="13" t="s">
        <v>1106</v>
      </c>
      <c r="W1" s="13" t="s">
        <v>183</v>
      </c>
    </row>
    <row r="2" customFormat="false" ht="15" hidden="false" customHeight="false" outlineLevel="0" collapsed="false">
      <c r="A2" s="32" t="n">
        <v>1</v>
      </c>
      <c r="B2" s="33" t="s">
        <v>209</v>
      </c>
      <c r="C2" s="32" t="str">
        <f aca="false">IF(B2="","",IFERROR(INDEX('Rule Matrix'!$C$2:$C$142,MATCH(B2,'Rule Matrix'!$A$2:$A$142,0)),"Rule ID not found"))</f>
        <v>ITC claimed vs GSTR-2B</v>
      </c>
      <c r="D2" s="33" t="s">
        <v>1107</v>
      </c>
      <c r="E2" s="34" t="n">
        <v>125000</v>
      </c>
      <c r="F2" s="33" t="s">
        <v>133</v>
      </c>
      <c r="G2" s="33" t="s">
        <v>133</v>
      </c>
      <c r="H2" s="33" t="s">
        <v>133</v>
      </c>
      <c r="I2" s="32" t="str">
        <f aca="false">IF(D2="","",IF(OR(F2="Y",G2="Y",H2="Y"),"Fraud","Non-fraud"))</f>
        <v>Non-fraud</v>
      </c>
      <c r="J2" s="32" t="str">
        <f aca="false">IF(D2="","",IF(VALUE(LEFT(D2,4))&lt;=2023,IF(I2="Fraud","74","73"),"74A"))</f>
        <v>73</v>
      </c>
      <c r="K2" s="35" t="n">
        <f aca="false">IF(D2="","",INDEX('Limitation Inputs'!$B$2:$B$10,MATCH(D2,'Limitation Inputs'!$A$2:$A$10,0)))</f>
        <v>45291</v>
      </c>
      <c r="L2" s="35" t="n">
        <f aca="false">IF(D2="","",IF(J2="74A",EDATE(K2,42),IF(J2="73",EDATE(M2,-3),EDATE(M2,-6))))</f>
        <v>46295</v>
      </c>
      <c r="M2" s="35" t="n">
        <f aca="false">IF(D2="","",IF(J2="73",IF(INDEX('Limitation Inputs'!$C$2:$C$10,MATCH(D2,'Limitation Inputs'!$A$2:$A$10,0))&gt;0,INDEX('Limitation Inputs'!$C$2:$C$10,MATCH(D2,'Limitation Inputs'!$A$2:$A$10,0)),EDATE(K2,36)),IF(J2="74",EDATE(K2,60),EDATE(L2,12))))</f>
        <v>46387</v>
      </c>
      <c r="N2" s="32" t="str">
        <f aca="false">IF(D2="","",IF(AND(J2="74A",N(E2)&lt;1000),"Below ₹1,000 – no SCN",IF('Limitation Inputs'!$B$13&gt;M2,"Order time-barred",IF('Limitation Inputs'!$B$13&gt;L2,"SCN time-barred","Open")))&amp;IF(AND(J2="73",VALUE(LEFT(D2,4))&lt;=2019)," | 168A ext. sub judice",""))</f>
        <v>Open</v>
      </c>
      <c r="O2" s="33" t="s">
        <v>1108</v>
      </c>
      <c r="P2" s="36" t="n">
        <f aca="false">IF(OR(D2="",O2=""),"",IF(I2="Non-fraud",IF(OR(O2="Before SCN",O2="Within window of SCN"),0,0.1),IF(O2="Before SCN",0.15,IF(O2="Within window of SCN",0.25,IF(O2="Within window of order",0.5,1)))))</f>
        <v>0</v>
      </c>
      <c r="Q2" s="37" t="n">
        <f aca="false">IF(P2="","",IF(AND(I2="Non-fraud",P2&gt;0),MAX(E2*P2,10000),E2*P2))</f>
        <v>0</v>
      </c>
      <c r="R2" s="38" t="n">
        <v>45036</v>
      </c>
      <c r="S2" s="38" t="n">
        <v>45945</v>
      </c>
      <c r="T2" s="37" t="n">
        <f aca="false">IF(OR(R2="",S2="",E2=""),"",ROUND(E2*'Limitation Inputs'!$B$12*(S2-R2)/365,0))</f>
        <v>56034</v>
      </c>
      <c r="U2" s="37" t="n">
        <f aca="false">IF(D2="","",N(E2)+N(Q2)+N(T2))</f>
        <v>181034</v>
      </c>
      <c r="V2" s="32" t="str">
        <f aca="false">IF(D2="","",IF(AND(J2="73",VALUE(LEFT(D2,4))&lt;=2019),"Eligible if tax paid by 31-Mar-2025","No"))</f>
        <v>No</v>
      </c>
      <c r="W2" s="33" t="s">
        <v>1109</v>
      </c>
    </row>
    <row r="3" customFormat="false" ht="15" hidden="false" customHeight="false" outlineLevel="0" collapsed="false">
      <c r="A3" s="32" t="n">
        <v>2</v>
      </c>
      <c r="B3" s="33"/>
      <c r="C3" s="32" t="str">
        <f aca="false">IF(B3="","",IFERROR(INDEX('Rule Matrix'!$C$2:$C$142,MATCH(B3,'Rule Matrix'!$A$2:$A$142,0)),"Rule ID not found"))</f>
        <v/>
      </c>
      <c r="D3" s="33"/>
      <c r="E3" s="34"/>
      <c r="F3" s="33"/>
      <c r="G3" s="33"/>
      <c r="H3" s="33"/>
      <c r="I3" s="32" t="str">
        <f aca="false">IF(D3="","",IF(OR(F3="Y",G3="Y",H3="Y"),"Fraud","Non-fraud"))</f>
        <v/>
      </c>
      <c r="J3" s="32" t="str">
        <f aca="false">IF(D3="","",IF(VALUE(LEFT(D3,4))&lt;=2023,IF(I3="Fraud","74","73"),"74A"))</f>
        <v/>
      </c>
      <c r="K3" s="35" t="str">
        <f aca="false">IF(D3="","",INDEX('Limitation Inputs'!$B$2:$B$10,MATCH(D3,'Limitation Inputs'!$A$2:$A$10,0)))</f>
        <v/>
      </c>
      <c r="L3" s="35" t="str">
        <f aca="false">IF(D3="","",IF(J3="74A",EDATE(K3,42),IF(J3="73",EDATE(M3,-3),EDATE(M3,-6))))</f>
        <v/>
      </c>
      <c r="M3" s="35" t="str">
        <f aca="false">IF(D3="","",IF(J3="73",IF(INDEX('Limitation Inputs'!$C$2:$C$10,MATCH(D3,'Limitation Inputs'!$A$2:$A$10,0))&gt;0,INDEX('Limitation Inputs'!$C$2:$C$10,MATCH(D3,'Limitation Inputs'!$A$2:$A$10,0)),EDATE(K3,36)),IF(J3="74",EDATE(K3,60),EDATE(L3,12))))</f>
        <v/>
      </c>
      <c r="N3" s="32" t="str">
        <f aca="false">IF(D3="","",IF(AND(J3="74A",N(E3)&lt;1000),"Below ₹1,000 – no SCN",IF('Limitation Inputs'!$B$13&gt;M3,"Order time-barred",IF('Limitation Inputs'!$B$13&gt;L3,"SCN time-barred","Open")))&amp;IF(AND(J3="73",VALUE(LEFT(D3,4))&lt;=2019)," | 168A ext. sub judice",""))</f>
        <v/>
      </c>
      <c r="O3" s="33"/>
      <c r="P3" s="36" t="str">
        <f aca="false">IF(OR(D3="",O3=""),"",IF(I3="Non-fraud",IF(OR(O3="Before SCN",O3="Within window of SCN"),0,0.1),IF(O3="Before SCN",0.15,IF(O3="Within window of SCN",0.25,IF(O3="Within window of order",0.5,1)))))</f>
        <v/>
      </c>
      <c r="Q3" s="37" t="str">
        <f aca="false">IF(P3="","",IF(AND(I3="Non-fraud",P3&gt;0),MAX(E3*P3,10000),E3*P3))</f>
        <v/>
      </c>
      <c r="R3" s="38"/>
      <c r="S3" s="38"/>
      <c r="T3" s="37" t="str">
        <f aca="false">IF(OR(R3="",S3="",E3=""),"",ROUND(E3*'Limitation Inputs'!$B$12*(S3-R3)/365,0))</f>
        <v/>
      </c>
      <c r="U3" s="37" t="str">
        <f aca="false">IF(D3="","",N(E3)+N(Q3)+N(T3))</f>
        <v/>
      </c>
      <c r="V3" s="32" t="str">
        <f aca="false">IF(D3="","",IF(AND(J3="73",VALUE(LEFT(D3,4))&lt;=2019),"Eligible if tax paid by 31-Mar-2025","No"))</f>
        <v/>
      </c>
      <c r="W3" s="33"/>
    </row>
    <row r="4" customFormat="false" ht="15" hidden="false" customHeight="false" outlineLevel="0" collapsed="false">
      <c r="A4" s="32" t="n">
        <v>3</v>
      </c>
      <c r="B4" s="33"/>
      <c r="C4" s="32" t="str">
        <f aca="false">IF(B4="","",IFERROR(INDEX('Rule Matrix'!$C$2:$C$142,MATCH(B4,'Rule Matrix'!$A$2:$A$142,0)),"Rule ID not found"))</f>
        <v/>
      </c>
      <c r="D4" s="33"/>
      <c r="E4" s="34"/>
      <c r="F4" s="33"/>
      <c r="G4" s="33"/>
      <c r="H4" s="33"/>
      <c r="I4" s="32" t="str">
        <f aca="false">IF(D4="","",IF(OR(F4="Y",G4="Y",H4="Y"),"Fraud","Non-fraud"))</f>
        <v/>
      </c>
      <c r="J4" s="32" t="str">
        <f aca="false">IF(D4="","",IF(VALUE(LEFT(D4,4))&lt;=2023,IF(I4="Fraud","74","73"),"74A"))</f>
        <v/>
      </c>
      <c r="K4" s="35" t="str">
        <f aca="false">IF(D4="","",INDEX('Limitation Inputs'!$B$2:$B$10,MATCH(D4,'Limitation Inputs'!$A$2:$A$10,0)))</f>
        <v/>
      </c>
      <c r="L4" s="35" t="str">
        <f aca="false">IF(D4="","",IF(J4="74A",EDATE(K4,42),IF(J4="73",EDATE(M4,-3),EDATE(M4,-6))))</f>
        <v/>
      </c>
      <c r="M4" s="35" t="str">
        <f aca="false">IF(D4="","",IF(J4="73",IF(INDEX('Limitation Inputs'!$C$2:$C$10,MATCH(D4,'Limitation Inputs'!$A$2:$A$10,0))&gt;0,INDEX('Limitation Inputs'!$C$2:$C$10,MATCH(D4,'Limitation Inputs'!$A$2:$A$10,0)),EDATE(K4,36)),IF(J4="74",EDATE(K4,60),EDATE(L4,12))))</f>
        <v/>
      </c>
      <c r="N4" s="32" t="str">
        <f aca="false">IF(D4="","",IF(AND(J4="74A",N(E4)&lt;1000),"Below ₹1,000 – no SCN",IF('Limitation Inputs'!$B$13&gt;M4,"Order time-barred",IF('Limitation Inputs'!$B$13&gt;L4,"SCN time-barred","Open")))&amp;IF(AND(J4="73",VALUE(LEFT(D4,4))&lt;=2019)," | 168A ext. sub judice",""))</f>
        <v/>
      </c>
      <c r="O4" s="33"/>
      <c r="P4" s="36" t="str">
        <f aca="false">IF(OR(D4="",O4=""),"",IF(I4="Non-fraud",IF(OR(O4="Before SCN",O4="Within window of SCN"),0,0.1),IF(O4="Before SCN",0.15,IF(O4="Within window of SCN",0.25,IF(O4="Within window of order",0.5,1)))))</f>
        <v/>
      </c>
      <c r="Q4" s="37" t="str">
        <f aca="false">IF(P4="","",IF(AND(I4="Non-fraud",P4&gt;0),MAX(E4*P4,10000),E4*P4))</f>
        <v/>
      </c>
      <c r="R4" s="38"/>
      <c r="S4" s="38"/>
      <c r="T4" s="37" t="str">
        <f aca="false">IF(OR(R4="",S4="",E4=""),"",ROUND(E4*'Limitation Inputs'!$B$12*(S4-R4)/365,0))</f>
        <v/>
      </c>
      <c r="U4" s="37" t="str">
        <f aca="false">IF(D4="","",N(E4)+N(Q4)+N(T4))</f>
        <v/>
      </c>
      <c r="V4" s="32" t="str">
        <f aca="false">IF(D4="","",IF(AND(J4="73",VALUE(LEFT(D4,4))&lt;=2019),"Eligible if tax paid by 31-Mar-2025","No"))</f>
        <v/>
      </c>
      <c r="W4" s="33"/>
    </row>
    <row r="5" customFormat="false" ht="15" hidden="false" customHeight="false" outlineLevel="0" collapsed="false">
      <c r="A5" s="32" t="n">
        <v>4</v>
      </c>
      <c r="B5" s="33"/>
      <c r="C5" s="32" t="str">
        <f aca="false">IF(B5="","",IFERROR(INDEX('Rule Matrix'!$C$2:$C$142,MATCH(B5,'Rule Matrix'!$A$2:$A$142,0)),"Rule ID not found"))</f>
        <v/>
      </c>
      <c r="D5" s="33"/>
      <c r="E5" s="34"/>
      <c r="F5" s="33"/>
      <c r="G5" s="33"/>
      <c r="H5" s="33"/>
      <c r="I5" s="32" t="str">
        <f aca="false">IF(D5="","",IF(OR(F5="Y",G5="Y",H5="Y"),"Fraud","Non-fraud"))</f>
        <v/>
      </c>
      <c r="J5" s="32" t="str">
        <f aca="false">IF(D5="","",IF(VALUE(LEFT(D5,4))&lt;=2023,IF(I5="Fraud","74","73"),"74A"))</f>
        <v/>
      </c>
      <c r="K5" s="35" t="str">
        <f aca="false">IF(D5="","",INDEX('Limitation Inputs'!$B$2:$B$10,MATCH(D5,'Limitation Inputs'!$A$2:$A$10,0)))</f>
        <v/>
      </c>
      <c r="L5" s="35" t="str">
        <f aca="false">IF(D5="","",IF(J5="74A",EDATE(K5,42),IF(J5="73",EDATE(M5,-3),EDATE(M5,-6))))</f>
        <v/>
      </c>
      <c r="M5" s="35" t="str">
        <f aca="false">IF(D5="","",IF(J5="73",IF(INDEX('Limitation Inputs'!$C$2:$C$10,MATCH(D5,'Limitation Inputs'!$A$2:$A$10,0))&gt;0,INDEX('Limitation Inputs'!$C$2:$C$10,MATCH(D5,'Limitation Inputs'!$A$2:$A$10,0)),EDATE(K5,36)),IF(J5="74",EDATE(K5,60),EDATE(L5,12))))</f>
        <v/>
      </c>
      <c r="N5" s="32" t="str">
        <f aca="false">IF(D5="","",IF(AND(J5="74A",N(E5)&lt;1000),"Below ₹1,000 – no SCN",IF('Limitation Inputs'!$B$13&gt;M5,"Order time-barred",IF('Limitation Inputs'!$B$13&gt;L5,"SCN time-barred","Open")))&amp;IF(AND(J5="73",VALUE(LEFT(D5,4))&lt;=2019)," | 168A ext. sub judice",""))</f>
        <v/>
      </c>
      <c r="O5" s="33"/>
      <c r="P5" s="36" t="str">
        <f aca="false">IF(OR(D5="",O5=""),"",IF(I5="Non-fraud",IF(OR(O5="Before SCN",O5="Within window of SCN"),0,0.1),IF(O5="Before SCN",0.15,IF(O5="Within window of SCN",0.25,IF(O5="Within window of order",0.5,1)))))</f>
        <v/>
      </c>
      <c r="Q5" s="37" t="str">
        <f aca="false">IF(P5="","",IF(AND(I5="Non-fraud",P5&gt;0),MAX(E5*P5,10000),E5*P5))</f>
        <v/>
      </c>
      <c r="R5" s="38"/>
      <c r="S5" s="38"/>
      <c r="T5" s="37" t="str">
        <f aca="false">IF(OR(R5="",S5="",E5=""),"",ROUND(E5*'Limitation Inputs'!$B$12*(S5-R5)/365,0))</f>
        <v/>
      </c>
      <c r="U5" s="37" t="str">
        <f aca="false">IF(D5="","",N(E5)+N(Q5)+N(T5))</f>
        <v/>
      </c>
      <c r="V5" s="32" t="str">
        <f aca="false">IF(D5="","",IF(AND(J5="73",VALUE(LEFT(D5,4))&lt;=2019),"Eligible if tax paid by 31-Mar-2025","No"))</f>
        <v/>
      </c>
      <c r="W5" s="33"/>
    </row>
    <row r="6" customFormat="false" ht="15" hidden="false" customHeight="false" outlineLevel="0" collapsed="false">
      <c r="A6" s="32" t="n">
        <v>5</v>
      </c>
      <c r="B6" s="33"/>
      <c r="C6" s="32" t="str">
        <f aca="false">IF(B6="","",IFERROR(INDEX('Rule Matrix'!$C$2:$C$142,MATCH(B6,'Rule Matrix'!$A$2:$A$142,0)),"Rule ID not found"))</f>
        <v/>
      </c>
      <c r="D6" s="33"/>
      <c r="E6" s="34"/>
      <c r="F6" s="33"/>
      <c r="G6" s="33"/>
      <c r="H6" s="33"/>
      <c r="I6" s="32" t="str">
        <f aca="false">IF(D6="","",IF(OR(F6="Y",G6="Y",H6="Y"),"Fraud","Non-fraud"))</f>
        <v/>
      </c>
      <c r="J6" s="32" t="str">
        <f aca="false">IF(D6="","",IF(VALUE(LEFT(D6,4))&lt;=2023,IF(I6="Fraud","74","73"),"74A"))</f>
        <v/>
      </c>
      <c r="K6" s="35" t="str">
        <f aca="false">IF(D6="","",INDEX('Limitation Inputs'!$B$2:$B$10,MATCH(D6,'Limitation Inputs'!$A$2:$A$10,0)))</f>
        <v/>
      </c>
      <c r="L6" s="35" t="str">
        <f aca="false">IF(D6="","",IF(J6="74A",EDATE(K6,42),IF(J6="73",EDATE(M6,-3),EDATE(M6,-6))))</f>
        <v/>
      </c>
      <c r="M6" s="35" t="str">
        <f aca="false">IF(D6="","",IF(J6="73",IF(INDEX('Limitation Inputs'!$C$2:$C$10,MATCH(D6,'Limitation Inputs'!$A$2:$A$10,0))&gt;0,INDEX('Limitation Inputs'!$C$2:$C$10,MATCH(D6,'Limitation Inputs'!$A$2:$A$10,0)),EDATE(K6,36)),IF(J6="74",EDATE(K6,60),EDATE(L6,12))))</f>
        <v/>
      </c>
      <c r="N6" s="32" t="str">
        <f aca="false">IF(D6="","",IF(AND(J6="74A",N(E6)&lt;1000),"Below ₹1,000 – no SCN",IF('Limitation Inputs'!$B$13&gt;M6,"Order time-barred",IF('Limitation Inputs'!$B$13&gt;L6,"SCN time-barred","Open")))&amp;IF(AND(J6="73",VALUE(LEFT(D6,4))&lt;=2019)," | 168A ext. sub judice",""))</f>
        <v/>
      </c>
      <c r="O6" s="33"/>
      <c r="P6" s="36" t="str">
        <f aca="false">IF(OR(D6="",O6=""),"",IF(I6="Non-fraud",IF(OR(O6="Before SCN",O6="Within window of SCN"),0,0.1),IF(O6="Before SCN",0.15,IF(O6="Within window of SCN",0.25,IF(O6="Within window of order",0.5,1)))))</f>
        <v/>
      </c>
      <c r="Q6" s="37" t="str">
        <f aca="false">IF(P6="","",IF(AND(I6="Non-fraud",P6&gt;0),MAX(E6*P6,10000),E6*P6))</f>
        <v/>
      </c>
      <c r="R6" s="38"/>
      <c r="S6" s="38"/>
      <c r="T6" s="37" t="str">
        <f aca="false">IF(OR(R6="",S6="",E6=""),"",ROUND(E6*'Limitation Inputs'!$B$12*(S6-R6)/365,0))</f>
        <v/>
      </c>
      <c r="U6" s="37" t="str">
        <f aca="false">IF(D6="","",N(E6)+N(Q6)+N(T6))</f>
        <v/>
      </c>
      <c r="V6" s="32" t="str">
        <f aca="false">IF(D6="","",IF(AND(J6="73",VALUE(LEFT(D6,4))&lt;=2019),"Eligible if tax paid by 31-Mar-2025","No"))</f>
        <v/>
      </c>
      <c r="W6" s="33"/>
    </row>
    <row r="7" customFormat="false" ht="15" hidden="false" customHeight="false" outlineLevel="0" collapsed="false">
      <c r="A7" s="32" t="n">
        <v>6</v>
      </c>
      <c r="B7" s="33"/>
      <c r="C7" s="32" t="str">
        <f aca="false">IF(B7="","",IFERROR(INDEX('Rule Matrix'!$C$2:$C$142,MATCH(B7,'Rule Matrix'!$A$2:$A$142,0)),"Rule ID not found"))</f>
        <v/>
      </c>
      <c r="D7" s="33"/>
      <c r="E7" s="34"/>
      <c r="F7" s="33"/>
      <c r="G7" s="33"/>
      <c r="H7" s="33"/>
      <c r="I7" s="32" t="str">
        <f aca="false">IF(D7="","",IF(OR(F7="Y",G7="Y",H7="Y"),"Fraud","Non-fraud"))</f>
        <v/>
      </c>
      <c r="J7" s="32" t="str">
        <f aca="false">IF(D7="","",IF(VALUE(LEFT(D7,4))&lt;=2023,IF(I7="Fraud","74","73"),"74A"))</f>
        <v/>
      </c>
      <c r="K7" s="35" t="str">
        <f aca="false">IF(D7="","",INDEX('Limitation Inputs'!$B$2:$B$10,MATCH(D7,'Limitation Inputs'!$A$2:$A$10,0)))</f>
        <v/>
      </c>
      <c r="L7" s="35" t="str">
        <f aca="false">IF(D7="","",IF(J7="74A",EDATE(K7,42),IF(J7="73",EDATE(M7,-3),EDATE(M7,-6))))</f>
        <v/>
      </c>
      <c r="M7" s="35" t="str">
        <f aca="false">IF(D7="","",IF(J7="73",IF(INDEX('Limitation Inputs'!$C$2:$C$10,MATCH(D7,'Limitation Inputs'!$A$2:$A$10,0))&gt;0,INDEX('Limitation Inputs'!$C$2:$C$10,MATCH(D7,'Limitation Inputs'!$A$2:$A$10,0)),EDATE(K7,36)),IF(J7="74",EDATE(K7,60),EDATE(L7,12))))</f>
        <v/>
      </c>
      <c r="N7" s="32" t="str">
        <f aca="false">IF(D7="","",IF(AND(J7="74A",N(E7)&lt;1000),"Below ₹1,000 – no SCN",IF('Limitation Inputs'!$B$13&gt;M7,"Order time-barred",IF('Limitation Inputs'!$B$13&gt;L7,"SCN time-barred","Open")))&amp;IF(AND(J7="73",VALUE(LEFT(D7,4))&lt;=2019)," | 168A ext. sub judice",""))</f>
        <v/>
      </c>
      <c r="O7" s="33"/>
      <c r="P7" s="36" t="str">
        <f aca="false">IF(OR(D7="",O7=""),"",IF(I7="Non-fraud",IF(OR(O7="Before SCN",O7="Within window of SCN"),0,0.1),IF(O7="Before SCN",0.15,IF(O7="Within window of SCN",0.25,IF(O7="Within window of order",0.5,1)))))</f>
        <v/>
      </c>
      <c r="Q7" s="37" t="str">
        <f aca="false">IF(P7="","",IF(AND(I7="Non-fraud",P7&gt;0),MAX(E7*P7,10000),E7*P7))</f>
        <v/>
      </c>
      <c r="R7" s="38"/>
      <c r="S7" s="38"/>
      <c r="T7" s="37" t="str">
        <f aca="false">IF(OR(R7="",S7="",E7=""),"",ROUND(E7*'Limitation Inputs'!$B$12*(S7-R7)/365,0))</f>
        <v/>
      </c>
      <c r="U7" s="37" t="str">
        <f aca="false">IF(D7="","",N(E7)+N(Q7)+N(T7))</f>
        <v/>
      </c>
      <c r="V7" s="32" t="str">
        <f aca="false">IF(D7="","",IF(AND(J7="73",VALUE(LEFT(D7,4))&lt;=2019),"Eligible if tax paid by 31-Mar-2025","No"))</f>
        <v/>
      </c>
      <c r="W7" s="33"/>
    </row>
    <row r="8" customFormat="false" ht="15" hidden="false" customHeight="false" outlineLevel="0" collapsed="false">
      <c r="A8" s="32" t="n">
        <v>7</v>
      </c>
      <c r="B8" s="33"/>
      <c r="C8" s="32" t="str">
        <f aca="false">IF(B8="","",IFERROR(INDEX('Rule Matrix'!$C$2:$C$142,MATCH(B8,'Rule Matrix'!$A$2:$A$142,0)),"Rule ID not found"))</f>
        <v/>
      </c>
      <c r="D8" s="33"/>
      <c r="E8" s="34"/>
      <c r="F8" s="33"/>
      <c r="G8" s="33"/>
      <c r="H8" s="33"/>
      <c r="I8" s="32" t="str">
        <f aca="false">IF(D8="","",IF(OR(F8="Y",G8="Y",H8="Y"),"Fraud","Non-fraud"))</f>
        <v/>
      </c>
      <c r="J8" s="32" t="str">
        <f aca="false">IF(D8="","",IF(VALUE(LEFT(D8,4))&lt;=2023,IF(I8="Fraud","74","73"),"74A"))</f>
        <v/>
      </c>
      <c r="K8" s="35" t="str">
        <f aca="false">IF(D8="","",INDEX('Limitation Inputs'!$B$2:$B$10,MATCH(D8,'Limitation Inputs'!$A$2:$A$10,0)))</f>
        <v/>
      </c>
      <c r="L8" s="35" t="str">
        <f aca="false">IF(D8="","",IF(J8="74A",EDATE(K8,42),IF(J8="73",EDATE(M8,-3),EDATE(M8,-6))))</f>
        <v/>
      </c>
      <c r="M8" s="35" t="str">
        <f aca="false">IF(D8="","",IF(J8="73",IF(INDEX('Limitation Inputs'!$C$2:$C$10,MATCH(D8,'Limitation Inputs'!$A$2:$A$10,0))&gt;0,INDEX('Limitation Inputs'!$C$2:$C$10,MATCH(D8,'Limitation Inputs'!$A$2:$A$10,0)),EDATE(K8,36)),IF(J8="74",EDATE(K8,60),EDATE(L8,12))))</f>
        <v/>
      </c>
      <c r="N8" s="32" t="str">
        <f aca="false">IF(D8="","",IF(AND(J8="74A",N(E8)&lt;1000),"Below ₹1,000 – no SCN",IF('Limitation Inputs'!$B$13&gt;M8,"Order time-barred",IF('Limitation Inputs'!$B$13&gt;L8,"SCN time-barred","Open")))&amp;IF(AND(J8="73",VALUE(LEFT(D8,4))&lt;=2019)," | 168A ext. sub judice",""))</f>
        <v/>
      </c>
      <c r="O8" s="33"/>
      <c r="P8" s="36" t="str">
        <f aca="false">IF(OR(D8="",O8=""),"",IF(I8="Non-fraud",IF(OR(O8="Before SCN",O8="Within window of SCN"),0,0.1),IF(O8="Before SCN",0.15,IF(O8="Within window of SCN",0.25,IF(O8="Within window of order",0.5,1)))))</f>
        <v/>
      </c>
      <c r="Q8" s="37" t="str">
        <f aca="false">IF(P8="","",IF(AND(I8="Non-fraud",P8&gt;0),MAX(E8*P8,10000),E8*P8))</f>
        <v/>
      </c>
      <c r="R8" s="38"/>
      <c r="S8" s="38"/>
      <c r="T8" s="37" t="str">
        <f aca="false">IF(OR(R8="",S8="",E8=""),"",ROUND(E8*'Limitation Inputs'!$B$12*(S8-R8)/365,0))</f>
        <v/>
      </c>
      <c r="U8" s="37" t="str">
        <f aca="false">IF(D8="","",N(E8)+N(Q8)+N(T8))</f>
        <v/>
      </c>
      <c r="V8" s="32" t="str">
        <f aca="false">IF(D8="","",IF(AND(J8="73",VALUE(LEFT(D8,4))&lt;=2019),"Eligible if tax paid by 31-Mar-2025","No"))</f>
        <v/>
      </c>
      <c r="W8" s="33"/>
    </row>
    <row r="9" customFormat="false" ht="15" hidden="false" customHeight="false" outlineLevel="0" collapsed="false">
      <c r="A9" s="32" t="n">
        <v>8</v>
      </c>
      <c r="B9" s="33"/>
      <c r="C9" s="32" t="str">
        <f aca="false">IF(B9="","",IFERROR(INDEX('Rule Matrix'!$C$2:$C$142,MATCH(B9,'Rule Matrix'!$A$2:$A$142,0)),"Rule ID not found"))</f>
        <v/>
      </c>
      <c r="D9" s="33"/>
      <c r="E9" s="34"/>
      <c r="F9" s="33"/>
      <c r="G9" s="33"/>
      <c r="H9" s="33"/>
      <c r="I9" s="32" t="str">
        <f aca="false">IF(D9="","",IF(OR(F9="Y",G9="Y",H9="Y"),"Fraud","Non-fraud"))</f>
        <v/>
      </c>
      <c r="J9" s="32" t="str">
        <f aca="false">IF(D9="","",IF(VALUE(LEFT(D9,4))&lt;=2023,IF(I9="Fraud","74","73"),"74A"))</f>
        <v/>
      </c>
      <c r="K9" s="35" t="str">
        <f aca="false">IF(D9="","",INDEX('Limitation Inputs'!$B$2:$B$10,MATCH(D9,'Limitation Inputs'!$A$2:$A$10,0)))</f>
        <v/>
      </c>
      <c r="L9" s="35" t="str">
        <f aca="false">IF(D9="","",IF(J9="74A",EDATE(K9,42),IF(J9="73",EDATE(M9,-3),EDATE(M9,-6))))</f>
        <v/>
      </c>
      <c r="M9" s="35" t="str">
        <f aca="false">IF(D9="","",IF(J9="73",IF(INDEX('Limitation Inputs'!$C$2:$C$10,MATCH(D9,'Limitation Inputs'!$A$2:$A$10,0))&gt;0,INDEX('Limitation Inputs'!$C$2:$C$10,MATCH(D9,'Limitation Inputs'!$A$2:$A$10,0)),EDATE(K9,36)),IF(J9="74",EDATE(K9,60),EDATE(L9,12))))</f>
        <v/>
      </c>
      <c r="N9" s="32" t="str">
        <f aca="false">IF(D9="","",IF(AND(J9="74A",N(E9)&lt;1000),"Below ₹1,000 – no SCN",IF('Limitation Inputs'!$B$13&gt;M9,"Order time-barred",IF('Limitation Inputs'!$B$13&gt;L9,"SCN time-barred","Open")))&amp;IF(AND(J9="73",VALUE(LEFT(D9,4))&lt;=2019)," | 168A ext. sub judice",""))</f>
        <v/>
      </c>
      <c r="O9" s="33"/>
      <c r="P9" s="36" t="str">
        <f aca="false">IF(OR(D9="",O9=""),"",IF(I9="Non-fraud",IF(OR(O9="Before SCN",O9="Within window of SCN"),0,0.1),IF(O9="Before SCN",0.15,IF(O9="Within window of SCN",0.25,IF(O9="Within window of order",0.5,1)))))</f>
        <v/>
      </c>
      <c r="Q9" s="37" t="str">
        <f aca="false">IF(P9="","",IF(AND(I9="Non-fraud",P9&gt;0),MAX(E9*P9,10000),E9*P9))</f>
        <v/>
      </c>
      <c r="R9" s="38"/>
      <c r="S9" s="38"/>
      <c r="T9" s="37" t="str">
        <f aca="false">IF(OR(R9="",S9="",E9=""),"",ROUND(E9*'Limitation Inputs'!$B$12*(S9-R9)/365,0))</f>
        <v/>
      </c>
      <c r="U9" s="37" t="str">
        <f aca="false">IF(D9="","",N(E9)+N(Q9)+N(T9))</f>
        <v/>
      </c>
      <c r="V9" s="32" t="str">
        <f aca="false">IF(D9="","",IF(AND(J9="73",VALUE(LEFT(D9,4))&lt;=2019),"Eligible if tax paid by 31-Mar-2025","No"))</f>
        <v/>
      </c>
      <c r="W9" s="33"/>
    </row>
    <row r="10" customFormat="false" ht="15" hidden="false" customHeight="false" outlineLevel="0" collapsed="false">
      <c r="A10" s="32" t="n">
        <v>9</v>
      </c>
      <c r="B10" s="33"/>
      <c r="C10" s="32" t="str">
        <f aca="false">IF(B10="","",IFERROR(INDEX('Rule Matrix'!$C$2:$C$142,MATCH(B10,'Rule Matrix'!$A$2:$A$142,0)),"Rule ID not found"))</f>
        <v/>
      </c>
      <c r="D10" s="33"/>
      <c r="E10" s="34"/>
      <c r="F10" s="33"/>
      <c r="G10" s="33"/>
      <c r="H10" s="33"/>
      <c r="I10" s="32" t="str">
        <f aca="false">IF(D10="","",IF(OR(F10="Y",G10="Y",H10="Y"),"Fraud","Non-fraud"))</f>
        <v/>
      </c>
      <c r="J10" s="32" t="str">
        <f aca="false">IF(D10="","",IF(VALUE(LEFT(D10,4))&lt;=2023,IF(I10="Fraud","74","73"),"74A"))</f>
        <v/>
      </c>
      <c r="K10" s="35" t="str">
        <f aca="false">IF(D10="","",INDEX('Limitation Inputs'!$B$2:$B$10,MATCH(D10,'Limitation Inputs'!$A$2:$A$10,0)))</f>
        <v/>
      </c>
      <c r="L10" s="35" t="str">
        <f aca="false">IF(D10="","",IF(J10="74A",EDATE(K10,42),IF(J10="73",EDATE(M10,-3),EDATE(M10,-6))))</f>
        <v/>
      </c>
      <c r="M10" s="35" t="str">
        <f aca="false">IF(D10="","",IF(J10="73",IF(INDEX('Limitation Inputs'!$C$2:$C$10,MATCH(D10,'Limitation Inputs'!$A$2:$A$10,0))&gt;0,INDEX('Limitation Inputs'!$C$2:$C$10,MATCH(D10,'Limitation Inputs'!$A$2:$A$10,0)),EDATE(K10,36)),IF(J10="74",EDATE(K10,60),EDATE(L10,12))))</f>
        <v/>
      </c>
      <c r="N10" s="32" t="str">
        <f aca="false">IF(D10="","",IF(AND(J10="74A",N(E10)&lt;1000),"Below ₹1,000 – no SCN",IF('Limitation Inputs'!$B$13&gt;M10,"Order time-barred",IF('Limitation Inputs'!$B$13&gt;L10,"SCN time-barred","Open")))&amp;IF(AND(J10="73",VALUE(LEFT(D10,4))&lt;=2019)," | 168A ext. sub judice",""))</f>
        <v/>
      </c>
      <c r="O10" s="33"/>
      <c r="P10" s="36" t="str">
        <f aca="false">IF(OR(D10="",O10=""),"",IF(I10="Non-fraud",IF(OR(O10="Before SCN",O10="Within window of SCN"),0,0.1),IF(O10="Before SCN",0.15,IF(O10="Within window of SCN",0.25,IF(O10="Within window of order",0.5,1)))))</f>
        <v/>
      </c>
      <c r="Q10" s="37" t="str">
        <f aca="false">IF(P10="","",IF(AND(I10="Non-fraud",P10&gt;0),MAX(E10*P10,10000),E10*P10))</f>
        <v/>
      </c>
      <c r="R10" s="38"/>
      <c r="S10" s="38"/>
      <c r="T10" s="37" t="str">
        <f aca="false">IF(OR(R10="",S10="",E10=""),"",ROUND(E10*'Limitation Inputs'!$B$12*(S10-R10)/365,0))</f>
        <v/>
      </c>
      <c r="U10" s="37" t="str">
        <f aca="false">IF(D10="","",N(E10)+N(Q10)+N(T10))</f>
        <v/>
      </c>
      <c r="V10" s="32" t="str">
        <f aca="false">IF(D10="","",IF(AND(J10="73",VALUE(LEFT(D10,4))&lt;=2019),"Eligible if tax paid by 31-Mar-2025","No"))</f>
        <v/>
      </c>
      <c r="W10" s="33"/>
    </row>
    <row r="11" customFormat="false" ht="15" hidden="false" customHeight="false" outlineLevel="0" collapsed="false">
      <c r="A11" s="32" t="n">
        <v>10</v>
      </c>
      <c r="B11" s="33"/>
      <c r="C11" s="32" t="str">
        <f aca="false">IF(B11="","",IFERROR(INDEX('Rule Matrix'!$C$2:$C$142,MATCH(B11,'Rule Matrix'!$A$2:$A$142,0)),"Rule ID not found"))</f>
        <v/>
      </c>
      <c r="D11" s="33"/>
      <c r="E11" s="34"/>
      <c r="F11" s="33"/>
      <c r="G11" s="33"/>
      <c r="H11" s="33"/>
      <c r="I11" s="32" t="str">
        <f aca="false">IF(D11="","",IF(OR(F11="Y",G11="Y",H11="Y"),"Fraud","Non-fraud"))</f>
        <v/>
      </c>
      <c r="J11" s="32" t="str">
        <f aca="false">IF(D11="","",IF(VALUE(LEFT(D11,4))&lt;=2023,IF(I11="Fraud","74","73"),"74A"))</f>
        <v/>
      </c>
      <c r="K11" s="35" t="str">
        <f aca="false">IF(D11="","",INDEX('Limitation Inputs'!$B$2:$B$10,MATCH(D11,'Limitation Inputs'!$A$2:$A$10,0)))</f>
        <v/>
      </c>
      <c r="L11" s="35" t="str">
        <f aca="false">IF(D11="","",IF(J11="74A",EDATE(K11,42),IF(J11="73",EDATE(M11,-3),EDATE(M11,-6))))</f>
        <v/>
      </c>
      <c r="M11" s="35" t="str">
        <f aca="false">IF(D11="","",IF(J11="73",IF(INDEX('Limitation Inputs'!$C$2:$C$10,MATCH(D11,'Limitation Inputs'!$A$2:$A$10,0))&gt;0,INDEX('Limitation Inputs'!$C$2:$C$10,MATCH(D11,'Limitation Inputs'!$A$2:$A$10,0)),EDATE(K11,36)),IF(J11="74",EDATE(K11,60),EDATE(L11,12))))</f>
        <v/>
      </c>
      <c r="N11" s="32" t="str">
        <f aca="false">IF(D11="","",IF(AND(J11="74A",N(E11)&lt;1000),"Below ₹1,000 – no SCN",IF('Limitation Inputs'!$B$13&gt;M11,"Order time-barred",IF('Limitation Inputs'!$B$13&gt;L11,"SCN time-barred","Open")))&amp;IF(AND(J11="73",VALUE(LEFT(D11,4))&lt;=2019)," | 168A ext. sub judice",""))</f>
        <v/>
      </c>
      <c r="O11" s="33"/>
      <c r="P11" s="36" t="str">
        <f aca="false">IF(OR(D11="",O11=""),"",IF(I11="Non-fraud",IF(OR(O11="Before SCN",O11="Within window of SCN"),0,0.1),IF(O11="Before SCN",0.15,IF(O11="Within window of SCN",0.25,IF(O11="Within window of order",0.5,1)))))</f>
        <v/>
      </c>
      <c r="Q11" s="37" t="str">
        <f aca="false">IF(P11="","",IF(AND(I11="Non-fraud",P11&gt;0),MAX(E11*P11,10000),E11*P11))</f>
        <v/>
      </c>
      <c r="R11" s="38"/>
      <c r="S11" s="38"/>
      <c r="T11" s="37" t="str">
        <f aca="false">IF(OR(R11="",S11="",E11=""),"",ROUND(E11*'Limitation Inputs'!$B$12*(S11-R11)/365,0))</f>
        <v/>
      </c>
      <c r="U11" s="37" t="str">
        <f aca="false">IF(D11="","",N(E11)+N(Q11)+N(T11))</f>
        <v/>
      </c>
      <c r="V11" s="32" t="str">
        <f aca="false">IF(D11="","",IF(AND(J11="73",VALUE(LEFT(D11,4))&lt;=2019),"Eligible if tax paid by 31-Mar-2025","No"))</f>
        <v/>
      </c>
      <c r="W11" s="33"/>
    </row>
    <row r="12" customFormat="false" ht="15" hidden="false" customHeight="false" outlineLevel="0" collapsed="false">
      <c r="A12" s="32" t="n">
        <v>11</v>
      </c>
      <c r="B12" s="33"/>
      <c r="C12" s="32" t="str">
        <f aca="false">IF(B12="","",IFERROR(INDEX('Rule Matrix'!$C$2:$C$142,MATCH(B12,'Rule Matrix'!$A$2:$A$142,0)),"Rule ID not found"))</f>
        <v/>
      </c>
      <c r="D12" s="33"/>
      <c r="E12" s="34"/>
      <c r="F12" s="33"/>
      <c r="G12" s="33"/>
      <c r="H12" s="33"/>
      <c r="I12" s="32" t="str">
        <f aca="false">IF(D12="","",IF(OR(F12="Y",G12="Y",H12="Y"),"Fraud","Non-fraud"))</f>
        <v/>
      </c>
      <c r="J12" s="32" t="str">
        <f aca="false">IF(D12="","",IF(VALUE(LEFT(D12,4))&lt;=2023,IF(I12="Fraud","74","73"),"74A"))</f>
        <v/>
      </c>
      <c r="K12" s="35" t="str">
        <f aca="false">IF(D12="","",INDEX('Limitation Inputs'!$B$2:$B$10,MATCH(D12,'Limitation Inputs'!$A$2:$A$10,0)))</f>
        <v/>
      </c>
      <c r="L12" s="35" t="str">
        <f aca="false">IF(D12="","",IF(J12="74A",EDATE(K12,42),IF(J12="73",EDATE(M12,-3),EDATE(M12,-6))))</f>
        <v/>
      </c>
      <c r="M12" s="35" t="str">
        <f aca="false">IF(D12="","",IF(J12="73",IF(INDEX('Limitation Inputs'!$C$2:$C$10,MATCH(D12,'Limitation Inputs'!$A$2:$A$10,0))&gt;0,INDEX('Limitation Inputs'!$C$2:$C$10,MATCH(D12,'Limitation Inputs'!$A$2:$A$10,0)),EDATE(K12,36)),IF(J12="74",EDATE(K12,60),EDATE(L12,12))))</f>
        <v/>
      </c>
      <c r="N12" s="32" t="str">
        <f aca="false">IF(D12="","",IF(AND(J12="74A",N(E12)&lt;1000),"Below ₹1,000 – no SCN",IF('Limitation Inputs'!$B$13&gt;M12,"Order time-barred",IF('Limitation Inputs'!$B$13&gt;L12,"SCN time-barred","Open")))&amp;IF(AND(J12="73",VALUE(LEFT(D12,4))&lt;=2019)," | 168A ext. sub judice",""))</f>
        <v/>
      </c>
      <c r="O12" s="33"/>
      <c r="P12" s="36" t="str">
        <f aca="false">IF(OR(D12="",O12=""),"",IF(I12="Non-fraud",IF(OR(O12="Before SCN",O12="Within window of SCN"),0,0.1),IF(O12="Before SCN",0.15,IF(O12="Within window of SCN",0.25,IF(O12="Within window of order",0.5,1)))))</f>
        <v/>
      </c>
      <c r="Q12" s="37" t="str">
        <f aca="false">IF(P12="","",IF(AND(I12="Non-fraud",P12&gt;0),MAX(E12*P12,10000),E12*P12))</f>
        <v/>
      </c>
      <c r="R12" s="38"/>
      <c r="S12" s="38"/>
      <c r="T12" s="37" t="str">
        <f aca="false">IF(OR(R12="",S12="",E12=""),"",ROUND(E12*'Limitation Inputs'!$B$12*(S12-R12)/365,0))</f>
        <v/>
      </c>
      <c r="U12" s="37" t="str">
        <f aca="false">IF(D12="","",N(E12)+N(Q12)+N(T12))</f>
        <v/>
      </c>
      <c r="V12" s="32" t="str">
        <f aca="false">IF(D12="","",IF(AND(J12="73",VALUE(LEFT(D12,4))&lt;=2019),"Eligible if tax paid by 31-Mar-2025","No"))</f>
        <v/>
      </c>
      <c r="W12" s="33"/>
    </row>
    <row r="13" customFormat="false" ht="15" hidden="false" customHeight="false" outlineLevel="0" collapsed="false">
      <c r="A13" s="32" t="n">
        <v>12</v>
      </c>
      <c r="B13" s="33"/>
      <c r="C13" s="32" t="str">
        <f aca="false">IF(B13="","",IFERROR(INDEX('Rule Matrix'!$C$2:$C$142,MATCH(B13,'Rule Matrix'!$A$2:$A$142,0)),"Rule ID not found"))</f>
        <v/>
      </c>
      <c r="D13" s="33"/>
      <c r="E13" s="34"/>
      <c r="F13" s="33"/>
      <c r="G13" s="33"/>
      <c r="H13" s="33"/>
      <c r="I13" s="32" t="str">
        <f aca="false">IF(D13="","",IF(OR(F13="Y",G13="Y",H13="Y"),"Fraud","Non-fraud"))</f>
        <v/>
      </c>
      <c r="J13" s="32" t="str">
        <f aca="false">IF(D13="","",IF(VALUE(LEFT(D13,4))&lt;=2023,IF(I13="Fraud","74","73"),"74A"))</f>
        <v/>
      </c>
      <c r="K13" s="35" t="str">
        <f aca="false">IF(D13="","",INDEX('Limitation Inputs'!$B$2:$B$10,MATCH(D13,'Limitation Inputs'!$A$2:$A$10,0)))</f>
        <v/>
      </c>
      <c r="L13" s="35" t="str">
        <f aca="false">IF(D13="","",IF(J13="74A",EDATE(K13,42),IF(J13="73",EDATE(M13,-3),EDATE(M13,-6))))</f>
        <v/>
      </c>
      <c r="M13" s="35" t="str">
        <f aca="false">IF(D13="","",IF(J13="73",IF(INDEX('Limitation Inputs'!$C$2:$C$10,MATCH(D13,'Limitation Inputs'!$A$2:$A$10,0))&gt;0,INDEX('Limitation Inputs'!$C$2:$C$10,MATCH(D13,'Limitation Inputs'!$A$2:$A$10,0)),EDATE(K13,36)),IF(J13="74",EDATE(K13,60),EDATE(L13,12))))</f>
        <v/>
      </c>
      <c r="N13" s="32" t="str">
        <f aca="false">IF(D13="","",IF(AND(J13="74A",N(E13)&lt;1000),"Below ₹1,000 – no SCN",IF('Limitation Inputs'!$B$13&gt;M13,"Order time-barred",IF('Limitation Inputs'!$B$13&gt;L13,"SCN time-barred","Open")))&amp;IF(AND(J13="73",VALUE(LEFT(D13,4))&lt;=2019)," | 168A ext. sub judice",""))</f>
        <v/>
      </c>
      <c r="O13" s="33"/>
      <c r="P13" s="36" t="str">
        <f aca="false">IF(OR(D13="",O13=""),"",IF(I13="Non-fraud",IF(OR(O13="Before SCN",O13="Within window of SCN"),0,0.1),IF(O13="Before SCN",0.15,IF(O13="Within window of SCN",0.25,IF(O13="Within window of order",0.5,1)))))</f>
        <v/>
      </c>
      <c r="Q13" s="37" t="str">
        <f aca="false">IF(P13="","",IF(AND(I13="Non-fraud",P13&gt;0),MAX(E13*P13,10000),E13*P13))</f>
        <v/>
      </c>
      <c r="R13" s="38"/>
      <c r="S13" s="38"/>
      <c r="T13" s="37" t="str">
        <f aca="false">IF(OR(R13="",S13="",E13=""),"",ROUND(E13*'Limitation Inputs'!$B$12*(S13-R13)/365,0))</f>
        <v/>
      </c>
      <c r="U13" s="37" t="str">
        <f aca="false">IF(D13="","",N(E13)+N(Q13)+N(T13))</f>
        <v/>
      </c>
      <c r="V13" s="32" t="str">
        <f aca="false">IF(D13="","",IF(AND(J13="73",VALUE(LEFT(D13,4))&lt;=2019),"Eligible if tax paid by 31-Mar-2025","No"))</f>
        <v/>
      </c>
      <c r="W13" s="33"/>
    </row>
    <row r="14" customFormat="false" ht="15" hidden="false" customHeight="false" outlineLevel="0" collapsed="false">
      <c r="A14" s="32" t="n">
        <v>13</v>
      </c>
      <c r="B14" s="33"/>
      <c r="C14" s="32" t="str">
        <f aca="false">IF(B14="","",IFERROR(INDEX('Rule Matrix'!$C$2:$C$142,MATCH(B14,'Rule Matrix'!$A$2:$A$142,0)),"Rule ID not found"))</f>
        <v/>
      </c>
      <c r="D14" s="33"/>
      <c r="E14" s="34"/>
      <c r="F14" s="33"/>
      <c r="G14" s="33"/>
      <c r="H14" s="33"/>
      <c r="I14" s="32" t="str">
        <f aca="false">IF(D14="","",IF(OR(F14="Y",G14="Y",H14="Y"),"Fraud","Non-fraud"))</f>
        <v/>
      </c>
      <c r="J14" s="32" t="str">
        <f aca="false">IF(D14="","",IF(VALUE(LEFT(D14,4))&lt;=2023,IF(I14="Fraud","74","73"),"74A"))</f>
        <v/>
      </c>
      <c r="K14" s="35" t="str">
        <f aca="false">IF(D14="","",INDEX('Limitation Inputs'!$B$2:$B$10,MATCH(D14,'Limitation Inputs'!$A$2:$A$10,0)))</f>
        <v/>
      </c>
      <c r="L14" s="35" t="str">
        <f aca="false">IF(D14="","",IF(J14="74A",EDATE(K14,42),IF(J14="73",EDATE(M14,-3),EDATE(M14,-6))))</f>
        <v/>
      </c>
      <c r="M14" s="35" t="str">
        <f aca="false">IF(D14="","",IF(J14="73",IF(INDEX('Limitation Inputs'!$C$2:$C$10,MATCH(D14,'Limitation Inputs'!$A$2:$A$10,0))&gt;0,INDEX('Limitation Inputs'!$C$2:$C$10,MATCH(D14,'Limitation Inputs'!$A$2:$A$10,0)),EDATE(K14,36)),IF(J14="74",EDATE(K14,60),EDATE(L14,12))))</f>
        <v/>
      </c>
      <c r="N14" s="32" t="str">
        <f aca="false">IF(D14="","",IF(AND(J14="74A",N(E14)&lt;1000),"Below ₹1,000 – no SCN",IF('Limitation Inputs'!$B$13&gt;M14,"Order time-barred",IF('Limitation Inputs'!$B$13&gt;L14,"SCN time-barred","Open")))&amp;IF(AND(J14="73",VALUE(LEFT(D14,4))&lt;=2019)," | 168A ext. sub judice",""))</f>
        <v/>
      </c>
      <c r="O14" s="33"/>
      <c r="P14" s="36" t="str">
        <f aca="false">IF(OR(D14="",O14=""),"",IF(I14="Non-fraud",IF(OR(O14="Before SCN",O14="Within window of SCN"),0,0.1),IF(O14="Before SCN",0.15,IF(O14="Within window of SCN",0.25,IF(O14="Within window of order",0.5,1)))))</f>
        <v/>
      </c>
      <c r="Q14" s="37" t="str">
        <f aca="false">IF(P14="","",IF(AND(I14="Non-fraud",P14&gt;0),MAX(E14*P14,10000),E14*P14))</f>
        <v/>
      </c>
      <c r="R14" s="38"/>
      <c r="S14" s="38"/>
      <c r="T14" s="37" t="str">
        <f aca="false">IF(OR(R14="",S14="",E14=""),"",ROUND(E14*'Limitation Inputs'!$B$12*(S14-R14)/365,0))</f>
        <v/>
      </c>
      <c r="U14" s="37" t="str">
        <f aca="false">IF(D14="","",N(E14)+N(Q14)+N(T14))</f>
        <v/>
      </c>
      <c r="V14" s="32" t="str">
        <f aca="false">IF(D14="","",IF(AND(J14="73",VALUE(LEFT(D14,4))&lt;=2019),"Eligible if tax paid by 31-Mar-2025","No"))</f>
        <v/>
      </c>
      <c r="W14" s="33"/>
    </row>
    <row r="15" customFormat="false" ht="15" hidden="false" customHeight="false" outlineLevel="0" collapsed="false">
      <c r="A15" s="32" t="n">
        <v>14</v>
      </c>
      <c r="B15" s="33"/>
      <c r="C15" s="32" t="str">
        <f aca="false">IF(B15="","",IFERROR(INDEX('Rule Matrix'!$C$2:$C$142,MATCH(B15,'Rule Matrix'!$A$2:$A$142,0)),"Rule ID not found"))</f>
        <v/>
      </c>
      <c r="D15" s="33"/>
      <c r="E15" s="34"/>
      <c r="F15" s="33"/>
      <c r="G15" s="33"/>
      <c r="H15" s="33"/>
      <c r="I15" s="32" t="str">
        <f aca="false">IF(D15="","",IF(OR(F15="Y",G15="Y",H15="Y"),"Fraud","Non-fraud"))</f>
        <v/>
      </c>
      <c r="J15" s="32" t="str">
        <f aca="false">IF(D15="","",IF(VALUE(LEFT(D15,4))&lt;=2023,IF(I15="Fraud","74","73"),"74A"))</f>
        <v/>
      </c>
      <c r="K15" s="35" t="str">
        <f aca="false">IF(D15="","",INDEX('Limitation Inputs'!$B$2:$B$10,MATCH(D15,'Limitation Inputs'!$A$2:$A$10,0)))</f>
        <v/>
      </c>
      <c r="L15" s="35" t="str">
        <f aca="false">IF(D15="","",IF(J15="74A",EDATE(K15,42),IF(J15="73",EDATE(M15,-3),EDATE(M15,-6))))</f>
        <v/>
      </c>
      <c r="M15" s="35" t="str">
        <f aca="false">IF(D15="","",IF(J15="73",IF(INDEX('Limitation Inputs'!$C$2:$C$10,MATCH(D15,'Limitation Inputs'!$A$2:$A$10,0))&gt;0,INDEX('Limitation Inputs'!$C$2:$C$10,MATCH(D15,'Limitation Inputs'!$A$2:$A$10,0)),EDATE(K15,36)),IF(J15="74",EDATE(K15,60),EDATE(L15,12))))</f>
        <v/>
      </c>
      <c r="N15" s="32" t="str">
        <f aca="false">IF(D15="","",IF(AND(J15="74A",N(E15)&lt;1000),"Below ₹1,000 – no SCN",IF('Limitation Inputs'!$B$13&gt;M15,"Order time-barred",IF('Limitation Inputs'!$B$13&gt;L15,"SCN time-barred","Open")))&amp;IF(AND(J15="73",VALUE(LEFT(D15,4))&lt;=2019)," | 168A ext. sub judice",""))</f>
        <v/>
      </c>
      <c r="O15" s="33"/>
      <c r="P15" s="36" t="str">
        <f aca="false">IF(OR(D15="",O15=""),"",IF(I15="Non-fraud",IF(OR(O15="Before SCN",O15="Within window of SCN"),0,0.1),IF(O15="Before SCN",0.15,IF(O15="Within window of SCN",0.25,IF(O15="Within window of order",0.5,1)))))</f>
        <v/>
      </c>
      <c r="Q15" s="37" t="str">
        <f aca="false">IF(P15="","",IF(AND(I15="Non-fraud",P15&gt;0),MAX(E15*P15,10000),E15*P15))</f>
        <v/>
      </c>
      <c r="R15" s="38"/>
      <c r="S15" s="38"/>
      <c r="T15" s="37" t="str">
        <f aca="false">IF(OR(R15="",S15="",E15=""),"",ROUND(E15*'Limitation Inputs'!$B$12*(S15-R15)/365,0))</f>
        <v/>
      </c>
      <c r="U15" s="37" t="str">
        <f aca="false">IF(D15="","",N(E15)+N(Q15)+N(T15))</f>
        <v/>
      </c>
      <c r="V15" s="32" t="str">
        <f aca="false">IF(D15="","",IF(AND(J15="73",VALUE(LEFT(D15,4))&lt;=2019),"Eligible if tax paid by 31-Mar-2025","No"))</f>
        <v/>
      </c>
      <c r="W15" s="33"/>
    </row>
    <row r="16" customFormat="false" ht="15" hidden="false" customHeight="false" outlineLevel="0" collapsed="false">
      <c r="A16" s="32" t="n">
        <v>15</v>
      </c>
      <c r="B16" s="33"/>
      <c r="C16" s="32" t="str">
        <f aca="false">IF(B16="","",IFERROR(INDEX('Rule Matrix'!$C$2:$C$142,MATCH(B16,'Rule Matrix'!$A$2:$A$142,0)),"Rule ID not found"))</f>
        <v/>
      </c>
      <c r="D16" s="33"/>
      <c r="E16" s="34"/>
      <c r="F16" s="33"/>
      <c r="G16" s="33"/>
      <c r="H16" s="33"/>
      <c r="I16" s="32" t="str">
        <f aca="false">IF(D16="","",IF(OR(F16="Y",G16="Y",H16="Y"),"Fraud","Non-fraud"))</f>
        <v/>
      </c>
      <c r="J16" s="32" t="str">
        <f aca="false">IF(D16="","",IF(VALUE(LEFT(D16,4))&lt;=2023,IF(I16="Fraud","74","73"),"74A"))</f>
        <v/>
      </c>
      <c r="K16" s="35" t="str">
        <f aca="false">IF(D16="","",INDEX('Limitation Inputs'!$B$2:$B$10,MATCH(D16,'Limitation Inputs'!$A$2:$A$10,0)))</f>
        <v/>
      </c>
      <c r="L16" s="35" t="str">
        <f aca="false">IF(D16="","",IF(J16="74A",EDATE(K16,42),IF(J16="73",EDATE(M16,-3),EDATE(M16,-6))))</f>
        <v/>
      </c>
      <c r="M16" s="35" t="str">
        <f aca="false">IF(D16="","",IF(J16="73",IF(INDEX('Limitation Inputs'!$C$2:$C$10,MATCH(D16,'Limitation Inputs'!$A$2:$A$10,0))&gt;0,INDEX('Limitation Inputs'!$C$2:$C$10,MATCH(D16,'Limitation Inputs'!$A$2:$A$10,0)),EDATE(K16,36)),IF(J16="74",EDATE(K16,60),EDATE(L16,12))))</f>
        <v/>
      </c>
      <c r="N16" s="32" t="str">
        <f aca="false">IF(D16="","",IF(AND(J16="74A",N(E16)&lt;1000),"Below ₹1,000 – no SCN",IF('Limitation Inputs'!$B$13&gt;M16,"Order time-barred",IF('Limitation Inputs'!$B$13&gt;L16,"SCN time-barred","Open")))&amp;IF(AND(J16="73",VALUE(LEFT(D16,4))&lt;=2019)," | 168A ext. sub judice",""))</f>
        <v/>
      </c>
      <c r="O16" s="33"/>
      <c r="P16" s="36" t="str">
        <f aca="false">IF(OR(D16="",O16=""),"",IF(I16="Non-fraud",IF(OR(O16="Before SCN",O16="Within window of SCN"),0,0.1),IF(O16="Before SCN",0.15,IF(O16="Within window of SCN",0.25,IF(O16="Within window of order",0.5,1)))))</f>
        <v/>
      </c>
      <c r="Q16" s="37" t="str">
        <f aca="false">IF(P16="","",IF(AND(I16="Non-fraud",P16&gt;0),MAX(E16*P16,10000),E16*P16))</f>
        <v/>
      </c>
      <c r="R16" s="38"/>
      <c r="S16" s="38"/>
      <c r="T16" s="37" t="str">
        <f aca="false">IF(OR(R16="",S16="",E16=""),"",ROUND(E16*'Limitation Inputs'!$B$12*(S16-R16)/365,0))</f>
        <v/>
      </c>
      <c r="U16" s="37" t="str">
        <f aca="false">IF(D16="","",N(E16)+N(Q16)+N(T16))</f>
        <v/>
      </c>
      <c r="V16" s="32" t="str">
        <f aca="false">IF(D16="","",IF(AND(J16="73",VALUE(LEFT(D16,4))&lt;=2019),"Eligible if tax paid by 31-Mar-2025","No"))</f>
        <v/>
      </c>
      <c r="W16" s="33"/>
    </row>
    <row r="17" customFormat="false" ht="15" hidden="false" customHeight="false" outlineLevel="0" collapsed="false">
      <c r="A17" s="32" t="n">
        <v>16</v>
      </c>
      <c r="B17" s="33"/>
      <c r="C17" s="32" t="str">
        <f aca="false">IF(B17="","",IFERROR(INDEX('Rule Matrix'!$C$2:$C$142,MATCH(B17,'Rule Matrix'!$A$2:$A$142,0)),"Rule ID not found"))</f>
        <v/>
      </c>
      <c r="D17" s="33"/>
      <c r="E17" s="34"/>
      <c r="F17" s="33"/>
      <c r="G17" s="33"/>
      <c r="H17" s="33"/>
      <c r="I17" s="32" t="str">
        <f aca="false">IF(D17="","",IF(OR(F17="Y",G17="Y",H17="Y"),"Fraud","Non-fraud"))</f>
        <v/>
      </c>
      <c r="J17" s="32" t="str">
        <f aca="false">IF(D17="","",IF(VALUE(LEFT(D17,4))&lt;=2023,IF(I17="Fraud","74","73"),"74A"))</f>
        <v/>
      </c>
      <c r="K17" s="35" t="str">
        <f aca="false">IF(D17="","",INDEX('Limitation Inputs'!$B$2:$B$10,MATCH(D17,'Limitation Inputs'!$A$2:$A$10,0)))</f>
        <v/>
      </c>
      <c r="L17" s="35" t="str">
        <f aca="false">IF(D17="","",IF(J17="74A",EDATE(K17,42),IF(J17="73",EDATE(M17,-3),EDATE(M17,-6))))</f>
        <v/>
      </c>
      <c r="M17" s="35" t="str">
        <f aca="false">IF(D17="","",IF(J17="73",IF(INDEX('Limitation Inputs'!$C$2:$C$10,MATCH(D17,'Limitation Inputs'!$A$2:$A$10,0))&gt;0,INDEX('Limitation Inputs'!$C$2:$C$10,MATCH(D17,'Limitation Inputs'!$A$2:$A$10,0)),EDATE(K17,36)),IF(J17="74",EDATE(K17,60),EDATE(L17,12))))</f>
        <v/>
      </c>
      <c r="N17" s="32" t="str">
        <f aca="false">IF(D17="","",IF(AND(J17="74A",N(E17)&lt;1000),"Below ₹1,000 – no SCN",IF('Limitation Inputs'!$B$13&gt;M17,"Order time-barred",IF('Limitation Inputs'!$B$13&gt;L17,"SCN time-barred","Open")))&amp;IF(AND(J17="73",VALUE(LEFT(D17,4))&lt;=2019)," | 168A ext. sub judice",""))</f>
        <v/>
      </c>
      <c r="O17" s="33"/>
      <c r="P17" s="36" t="str">
        <f aca="false">IF(OR(D17="",O17=""),"",IF(I17="Non-fraud",IF(OR(O17="Before SCN",O17="Within window of SCN"),0,0.1),IF(O17="Before SCN",0.15,IF(O17="Within window of SCN",0.25,IF(O17="Within window of order",0.5,1)))))</f>
        <v/>
      </c>
      <c r="Q17" s="37" t="str">
        <f aca="false">IF(P17="","",IF(AND(I17="Non-fraud",P17&gt;0),MAX(E17*P17,10000),E17*P17))</f>
        <v/>
      </c>
      <c r="R17" s="38"/>
      <c r="S17" s="38"/>
      <c r="T17" s="37" t="str">
        <f aca="false">IF(OR(R17="",S17="",E17=""),"",ROUND(E17*'Limitation Inputs'!$B$12*(S17-R17)/365,0))</f>
        <v/>
      </c>
      <c r="U17" s="37" t="str">
        <f aca="false">IF(D17="","",N(E17)+N(Q17)+N(T17))</f>
        <v/>
      </c>
      <c r="V17" s="32" t="str">
        <f aca="false">IF(D17="","",IF(AND(J17="73",VALUE(LEFT(D17,4))&lt;=2019),"Eligible if tax paid by 31-Mar-2025","No"))</f>
        <v/>
      </c>
      <c r="W17" s="33"/>
    </row>
    <row r="18" customFormat="false" ht="15" hidden="false" customHeight="false" outlineLevel="0" collapsed="false">
      <c r="A18" s="32" t="n">
        <v>17</v>
      </c>
      <c r="B18" s="33"/>
      <c r="C18" s="32" t="str">
        <f aca="false">IF(B18="","",IFERROR(INDEX('Rule Matrix'!$C$2:$C$142,MATCH(B18,'Rule Matrix'!$A$2:$A$142,0)),"Rule ID not found"))</f>
        <v/>
      </c>
      <c r="D18" s="33"/>
      <c r="E18" s="34"/>
      <c r="F18" s="33"/>
      <c r="G18" s="33"/>
      <c r="H18" s="33"/>
      <c r="I18" s="32" t="str">
        <f aca="false">IF(D18="","",IF(OR(F18="Y",G18="Y",H18="Y"),"Fraud","Non-fraud"))</f>
        <v/>
      </c>
      <c r="J18" s="32" t="str">
        <f aca="false">IF(D18="","",IF(VALUE(LEFT(D18,4))&lt;=2023,IF(I18="Fraud","74","73"),"74A"))</f>
        <v/>
      </c>
      <c r="K18" s="35" t="str">
        <f aca="false">IF(D18="","",INDEX('Limitation Inputs'!$B$2:$B$10,MATCH(D18,'Limitation Inputs'!$A$2:$A$10,0)))</f>
        <v/>
      </c>
      <c r="L18" s="35" t="str">
        <f aca="false">IF(D18="","",IF(J18="74A",EDATE(K18,42),IF(J18="73",EDATE(M18,-3),EDATE(M18,-6))))</f>
        <v/>
      </c>
      <c r="M18" s="35" t="str">
        <f aca="false">IF(D18="","",IF(J18="73",IF(INDEX('Limitation Inputs'!$C$2:$C$10,MATCH(D18,'Limitation Inputs'!$A$2:$A$10,0))&gt;0,INDEX('Limitation Inputs'!$C$2:$C$10,MATCH(D18,'Limitation Inputs'!$A$2:$A$10,0)),EDATE(K18,36)),IF(J18="74",EDATE(K18,60),EDATE(L18,12))))</f>
        <v/>
      </c>
      <c r="N18" s="32" t="str">
        <f aca="false">IF(D18="","",IF(AND(J18="74A",N(E18)&lt;1000),"Below ₹1,000 – no SCN",IF('Limitation Inputs'!$B$13&gt;M18,"Order time-barred",IF('Limitation Inputs'!$B$13&gt;L18,"SCN time-barred","Open")))&amp;IF(AND(J18="73",VALUE(LEFT(D18,4))&lt;=2019)," | 168A ext. sub judice",""))</f>
        <v/>
      </c>
      <c r="O18" s="33"/>
      <c r="P18" s="36" t="str">
        <f aca="false">IF(OR(D18="",O18=""),"",IF(I18="Non-fraud",IF(OR(O18="Before SCN",O18="Within window of SCN"),0,0.1),IF(O18="Before SCN",0.15,IF(O18="Within window of SCN",0.25,IF(O18="Within window of order",0.5,1)))))</f>
        <v/>
      </c>
      <c r="Q18" s="37" t="str">
        <f aca="false">IF(P18="","",IF(AND(I18="Non-fraud",P18&gt;0),MAX(E18*P18,10000),E18*P18))</f>
        <v/>
      </c>
      <c r="R18" s="38"/>
      <c r="S18" s="38"/>
      <c r="T18" s="37" t="str">
        <f aca="false">IF(OR(R18="",S18="",E18=""),"",ROUND(E18*'Limitation Inputs'!$B$12*(S18-R18)/365,0))</f>
        <v/>
      </c>
      <c r="U18" s="37" t="str">
        <f aca="false">IF(D18="","",N(E18)+N(Q18)+N(T18))</f>
        <v/>
      </c>
      <c r="V18" s="32" t="str">
        <f aca="false">IF(D18="","",IF(AND(J18="73",VALUE(LEFT(D18,4))&lt;=2019),"Eligible if tax paid by 31-Mar-2025","No"))</f>
        <v/>
      </c>
      <c r="W18" s="33"/>
    </row>
    <row r="19" customFormat="false" ht="15" hidden="false" customHeight="false" outlineLevel="0" collapsed="false">
      <c r="A19" s="32" t="n">
        <v>18</v>
      </c>
      <c r="B19" s="33"/>
      <c r="C19" s="32" t="str">
        <f aca="false">IF(B19="","",IFERROR(INDEX('Rule Matrix'!$C$2:$C$142,MATCH(B19,'Rule Matrix'!$A$2:$A$142,0)),"Rule ID not found"))</f>
        <v/>
      </c>
      <c r="D19" s="33"/>
      <c r="E19" s="34"/>
      <c r="F19" s="33"/>
      <c r="G19" s="33"/>
      <c r="H19" s="33"/>
      <c r="I19" s="32" t="str">
        <f aca="false">IF(D19="","",IF(OR(F19="Y",G19="Y",H19="Y"),"Fraud","Non-fraud"))</f>
        <v/>
      </c>
      <c r="J19" s="32" t="str">
        <f aca="false">IF(D19="","",IF(VALUE(LEFT(D19,4))&lt;=2023,IF(I19="Fraud","74","73"),"74A"))</f>
        <v/>
      </c>
      <c r="K19" s="35" t="str">
        <f aca="false">IF(D19="","",INDEX('Limitation Inputs'!$B$2:$B$10,MATCH(D19,'Limitation Inputs'!$A$2:$A$10,0)))</f>
        <v/>
      </c>
      <c r="L19" s="35" t="str">
        <f aca="false">IF(D19="","",IF(J19="74A",EDATE(K19,42),IF(J19="73",EDATE(M19,-3),EDATE(M19,-6))))</f>
        <v/>
      </c>
      <c r="M19" s="35" t="str">
        <f aca="false">IF(D19="","",IF(J19="73",IF(INDEX('Limitation Inputs'!$C$2:$C$10,MATCH(D19,'Limitation Inputs'!$A$2:$A$10,0))&gt;0,INDEX('Limitation Inputs'!$C$2:$C$10,MATCH(D19,'Limitation Inputs'!$A$2:$A$10,0)),EDATE(K19,36)),IF(J19="74",EDATE(K19,60),EDATE(L19,12))))</f>
        <v/>
      </c>
      <c r="N19" s="32" t="str">
        <f aca="false">IF(D19="","",IF(AND(J19="74A",N(E19)&lt;1000),"Below ₹1,000 – no SCN",IF('Limitation Inputs'!$B$13&gt;M19,"Order time-barred",IF('Limitation Inputs'!$B$13&gt;L19,"SCN time-barred","Open")))&amp;IF(AND(J19="73",VALUE(LEFT(D19,4))&lt;=2019)," | 168A ext. sub judice",""))</f>
        <v/>
      </c>
      <c r="O19" s="33"/>
      <c r="P19" s="36" t="str">
        <f aca="false">IF(OR(D19="",O19=""),"",IF(I19="Non-fraud",IF(OR(O19="Before SCN",O19="Within window of SCN"),0,0.1),IF(O19="Before SCN",0.15,IF(O19="Within window of SCN",0.25,IF(O19="Within window of order",0.5,1)))))</f>
        <v/>
      </c>
      <c r="Q19" s="37" t="str">
        <f aca="false">IF(P19="","",IF(AND(I19="Non-fraud",P19&gt;0),MAX(E19*P19,10000),E19*P19))</f>
        <v/>
      </c>
      <c r="R19" s="38"/>
      <c r="S19" s="38"/>
      <c r="T19" s="37" t="str">
        <f aca="false">IF(OR(R19="",S19="",E19=""),"",ROUND(E19*'Limitation Inputs'!$B$12*(S19-R19)/365,0))</f>
        <v/>
      </c>
      <c r="U19" s="37" t="str">
        <f aca="false">IF(D19="","",N(E19)+N(Q19)+N(T19))</f>
        <v/>
      </c>
      <c r="V19" s="32" t="str">
        <f aca="false">IF(D19="","",IF(AND(J19="73",VALUE(LEFT(D19,4))&lt;=2019),"Eligible if tax paid by 31-Mar-2025","No"))</f>
        <v/>
      </c>
      <c r="W19" s="33"/>
    </row>
    <row r="20" customFormat="false" ht="15" hidden="false" customHeight="false" outlineLevel="0" collapsed="false">
      <c r="A20" s="32" t="n">
        <v>19</v>
      </c>
      <c r="B20" s="33"/>
      <c r="C20" s="32" t="str">
        <f aca="false">IF(B20="","",IFERROR(INDEX('Rule Matrix'!$C$2:$C$142,MATCH(B20,'Rule Matrix'!$A$2:$A$142,0)),"Rule ID not found"))</f>
        <v/>
      </c>
      <c r="D20" s="33"/>
      <c r="E20" s="34"/>
      <c r="F20" s="33"/>
      <c r="G20" s="33"/>
      <c r="H20" s="33"/>
      <c r="I20" s="32" t="str">
        <f aca="false">IF(D20="","",IF(OR(F20="Y",G20="Y",H20="Y"),"Fraud","Non-fraud"))</f>
        <v/>
      </c>
      <c r="J20" s="32" t="str">
        <f aca="false">IF(D20="","",IF(VALUE(LEFT(D20,4))&lt;=2023,IF(I20="Fraud","74","73"),"74A"))</f>
        <v/>
      </c>
      <c r="K20" s="35" t="str">
        <f aca="false">IF(D20="","",INDEX('Limitation Inputs'!$B$2:$B$10,MATCH(D20,'Limitation Inputs'!$A$2:$A$10,0)))</f>
        <v/>
      </c>
      <c r="L20" s="35" t="str">
        <f aca="false">IF(D20="","",IF(J20="74A",EDATE(K20,42),IF(J20="73",EDATE(M20,-3),EDATE(M20,-6))))</f>
        <v/>
      </c>
      <c r="M20" s="35" t="str">
        <f aca="false">IF(D20="","",IF(J20="73",IF(INDEX('Limitation Inputs'!$C$2:$C$10,MATCH(D20,'Limitation Inputs'!$A$2:$A$10,0))&gt;0,INDEX('Limitation Inputs'!$C$2:$C$10,MATCH(D20,'Limitation Inputs'!$A$2:$A$10,0)),EDATE(K20,36)),IF(J20="74",EDATE(K20,60),EDATE(L20,12))))</f>
        <v/>
      </c>
      <c r="N20" s="32" t="str">
        <f aca="false">IF(D20="","",IF(AND(J20="74A",N(E20)&lt;1000),"Below ₹1,000 – no SCN",IF('Limitation Inputs'!$B$13&gt;M20,"Order time-barred",IF('Limitation Inputs'!$B$13&gt;L20,"SCN time-barred","Open")))&amp;IF(AND(J20="73",VALUE(LEFT(D20,4))&lt;=2019)," | 168A ext. sub judice",""))</f>
        <v/>
      </c>
      <c r="O20" s="33"/>
      <c r="P20" s="36" t="str">
        <f aca="false">IF(OR(D20="",O20=""),"",IF(I20="Non-fraud",IF(OR(O20="Before SCN",O20="Within window of SCN"),0,0.1),IF(O20="Before SCN",0.15,IF(O20="Within window of SCN",0.25,IF(O20="Within window of order",0.5,1)))))</f>
        <v/>
      </c>
      <c r="Q20" s="37" t="str">
        <f aca="false">IF(P20="","",IF(AND(I20="Non-fraud",P20&gt;0),MAX(E20*P20,10000),E20*P20))</f>
        <v/>
      </c>
      <c r="R20" s="38"/>
      <c r="S20" s="38"/>
      <c r="T20" s="37" t="str">
        <f aca="false">IF(OR(R20="",S20="",E20=""),"",ROUND(E20*'Limitation Inputs'!$B$12*(S20-R20)/365,0))</f>
        <v/>
      </c>
      <c r="U20" s="37" t="str">
        <f aca="false">IF(D20="","",N(E20)+N(Q20)+N(T20))</f>
        <v/>
      </c>
      <c r="V20" s="32" t="str">
        <f aca="false">IF(D20="","",IF(AND(J20="73",VALUE(LEFT(D20,4))&lt;=2019),"Eligible if tax paid by 31-Mar-2025","No"))</f>
        <v/>
      </c>
      <c r="W20" s="33"/>
    </row>
    <row r="21" customFormat="false" ht="15" hidden="false" customHeight="false" outlineLevel="0" collapsed="false">
      <c r="A21" s="32" t="n">
        <v>20</v>
      </c>
      <c r="B21" s="33"/>
      <c r="C21" s="32" t="str">
        <f aca="false">IF(B21="","",IFERROR(INDEX('Rule Matrix'!$C$2:$C$142,MATCH(B21,'Rule Matrix'!$A$2:$A$142,0)),"Rule ID not found"))</f>
        <v/>
      </c>
      <c r="D21" s="33"/>
      <c r="E21" s="34"/>
      <c r="F21" s="33"/>
      <c r="G21" s="33"/>
      <c r="H21" s="33"/>
      <c r="I21" s="32" t="str">
        <f aca="false">IF(D21="","",IF(OR(F21="Y",G21="Y",H21="Y"),"Fraud","Non-fraud"))</f>
        <v/>
      </c>
      <c r="J21" s="32" t="str">
        <f aca="false">IF(D21="","",IF(VALUE(LEFT(D21,4))&lt;=2023,IF(I21="Fraud","74","73"),"74A"))</f>
        <v/>
      </c>
      <c r="K21" s="35" t="str">
        <f aca="false">IF(D21="","",INDEX('Limitation Inputs'!$B$2:$B$10,MATCH(D21,'Limitation Inputs'!$A$2:$A$10,0)))</f>
        <v/>
      </c>
      <c r="L21" s="35" t="str">
        <f aca="false">IF(D21="","",IF(J21="74A",EDATE(K21,42),IF(J21="73",EDATE(M21,-3),EDATE(M21,-6))))</f>
        <v/>
      </c>
      <c r="M21" s="35" t="str">
        <f aca="false">IF(D21="","",IF(J21="73",IF(INDEX('Limitation Inputs'!$C$2:$C$10,MATCH(D21,'Limitation Inputs'!$A$2:$A$10,0))&gt;0,INDEX('Limitation Inputs'!$C$2:$C$10,MATCH(D21,'Limitation Inputs'!$A$2:$A$10,0)),EDATE(K21,36)),IF(J21="74",EDATE(K21,60),EDATE(L21,12))))</f>
        <v/>
      </c>
      <c r="N21" s="32" t="str">
        <f aca="false">IF(D21="","",IF(AND(J21="74A",N(E21)&lt;1000),"Below ₹1,000 – no SCN",IF('Limitation Inputs'!$B$13&gt;M21,"Order time-barred",IF('Limitation Inputs'!$B$13&gt;L21,"SCN time-barred","Open")))&amp;IF(AND(J21="73",VALUE(LEFT(D21,4))&lt;=2019)," | 168A ext. sub judice",""))</f>
        <v/>
      </c>
      <c r="O21" s="33"/>
      <c r="P21" s="36" t="str">
        <f aca="false">IF(OR(D21="",O21=""),"",IF(I21="Non-fraud",IF(OR(O21="Before SCN",O21="Within window of SCN"),0,0.1),IF(O21="Before SCN",0.15,IF(O21="Within window of SCN",0.25,IF(O21="Within window of order",0.5,1)))))</f>
        <v/>
      </c>
      <c r="Q21" s="37" t="str">
        <f aca="false">IF(P21="","",IF(AND(I21="Non-fraud",P21&gt;0),MAX(E21*P21,10000),E21*P21))</f>
        <v/>
      </c>
      <c r="R21" s="38"/>
      <c r="S21" s="38"/>
      <c r="T21" s="37" t="str">
        <f aca="false">IF(OR(R21="",S21="",E21=""),"",ROUND(E21*'Limitation Inputs'!$B$12*(S21-R21)/365,0))</f>
        <v/>
      </c>
      <c r="U21" s="37" t="str">
        <f aca="false">IF(D21="","",N(E21)+N(Q21)+N(T21))</f>
        <v/>
      </c>
      <c r="V21" s="32" t="str">
        <f aca="false">IF(D21="","",IF(AND(J21="73",VALUE(LEFT(D21,4))&lt;=2019),"Eligible if tax paid by 31-Mar-2025","No"))</f>
        <v/>
      </c>
      <c r="W21" s="33"/>
    </row>
    <row r="22" customFormat="false" ht="15" hidden="false" customHeight="false" outlineLevel="0" collapsed="false">
      <c r="A22" s="32" t="n">
        <v>21</v>
      </c>
      <c r="B22" s="33"/>
      <c r="C22" s="32" t="str">
        <f aca="false">IF(B22="","",IFERROR(INDEX('Rule Matrix'!$C$2:$C$142,MATCH(B22,'Rule Matrix'!$A$2:$A$142,0)),"Rule ID not found"))</f>
        <v/>
      </c>
      <c r="D22" s="33"/>
      <c r="E22" s="34"/>
      <c r="F22" s="33"/>
      <c r="G22" s="33"/>
      <c r="H22" s="33"/>
      <c r="I22" s="32" t="str">
        <f aca="false">IF(D22="","",IF(OR(F22="Y",G22="Y",H22="Y"),"Fraud","Non-fraud"))</f>
        <v/>
      </c>
      <c r="J22" s="32" t="str">
        <f aca="false">IF(D22="","",IF(VALUE(LEFT(D22,4))&lt;=2023,IF(I22="Fraud","74","73"),"74A"))</f>
        <v/>
      </c>
      <c r="K22" s="35" t="str">
        <f aca="false">IF(D22="","",INDEX('Limitation Inputs'!$B$2:$B$10,MATCH(D22,'Limitation Inputs'!$A$2:$A$10,0)))</f>
        <v/>
      </c>
      <c r="L22" s="35" t="str">
        <f aca="false">IF(D22="","",IF(J22="74A",EDATE(K22,42),IF(J22="73",EDATE(M22,-3),EDATE(M22,-6))))</f>
        <v/>
      </c>
      <c r="M22" s="35" t="str">
        <f aca="false">IF(D22="","",IF(J22="73",IF(INDEX('Limitation Inputs'!$C$2:$C$10,MATCH(D22,'Limitation Inputs'!$A$2:$A$10,0))&gt;0,INDEX('Limitation Inputs'!$C$2:$C$10,MATCH(D22,'Limitation Inputs'!$A$2:$A$10,0)),EDATE(K22,36)),IF(J22="74",EDATE(K22,60),EDATE(L22,12))))</f>
        <v/>
      </c>
      <c r="N22" s="32" t="str">
        <f aca="false">IF(D22="","",IF(AND(J22="74A",N(E22)&lt;1000),"Below ₹1,000 – no SCN",IF('Limitation Inputs'!$B$13&gt;M22,"Order time-barred",IF('Limitation Inputs'!$B$13&gt;L22,"SCN time-barred","Open")))&amp;IF(AND(J22="73",VALUE(LEFT(D22,4))&lt;=2019)," | 168A ext. sub judice",""))</f>
        <v/>
      </c>
      <c r="O22" s="33"/>
      <c r="P22" s="36" t="str">
        <f aca="false">IF(OR(D22="",O22=""),"",IF(I22="Non-fraud",IF(OR(O22="Before SCN",O22="Within window of SCN"),0,0.1),IF(O22="Before SCN",0.15,IF(O22="Within window of SCN",0.25,IF(O22="Within window of order",0.5,1)))))</f>
        <v/>
      </c>
      <c r="Q22" s="37" t="str">
        <f aca="false">IF(P22="","",IF(AND(I22="Non-fraud",P22&gt;0),MAX(E22*P22,10000),E22*P22))</f>
        <v/>
      </c>
      <c r="R22" s="38"/>
      <c r="S22" s="38"/>
      <c r="T22" s="37" t="str">
        <f aca="false">IF(OR(R22="",S22="",E22=""),"",ROUND(E22*'Limitation Inputs'!$B$12*(S22-R22)/365,0))</f>
        <v/>
      </c>
      <c r="U22" s="37" t="str">
        <f aca="false">IF(D22="","",N(E22)+N(Q22)+N(T22))</f>
        <v/>
      </c>
      <c r="V22" s="32" t="str">
        <f aca="false">IF(D22="","",IF(AND(J22="73",VALUE(LEFT(D22,4))&lt;=2019),"Eligible if tax paid by 31-Mar-2025","No"))</f>
        <v/>
      </c>
      <c r="W22" s="33"/>
    </row>
    <row r="23" customFormat="false" ht="15" hidden="false" customHeight="false" outlineLevel="0" collapsed="false">
      <c r="A23" s="32" t="n">
        <v>22</v>
      </c>
      <c r="B23" s="33"/>
      <c r="C23" s="32" t="str">
        <f aca="false">IF(B23="","",IFERROR(INDEX('Rule Matrix'!$C$2:$C$142,MATCH(B23,'Rule Matrix'!$A$2:$A$142,0)),"Rule ID not found"))</f>
        <v/>
      </c>
      <c r="D23" s="33"/>
      <c r="E23" s="34"/>
      <c r="F23" s="33"/>
      <c r="G23" s="33"/>
      <c r="H23" s="33"/>
      <c r="I23" s="32" t="str">
        <f aca="false">IF(D23="","",IF(OR(F23="Y",G23="Y",H23="Y"),"Fraud","Non-fraud"))</f>
        <v/>
      </c>
      <c r="J23" s="32" t="str">
        <f aca="false">IF(D23="","",IF(VALUE(LEFT(D23,4))&lt;=2023,IF(I23="Fraud","74","73"),"74A"))</f>
        <v/>
      </c>
      <c r="K23" s="35" t="str">
        <f aca="false">IF(D23="","",INDEX('Limitation Inputs'!$B$2:$B$10,MATCH(D23,'Limitation Inputs'!$A$2:$A$10,0)))</f>
        <v/>
      </c>
      <c r="L23" s="35" t="str">
        <f aca="false">IF(D23="","",IF(J23="74A",EDATE(K23,42),IF(J23="73",EDATE(M23,-3),EDATE(M23,-6))))</f>
        <v/>
      </c>
      <c r="M23" s="35" t="str">
        <f aca="false">IF(D23="","",IF(J23="73",IF(INDEX('Limitation Inputs'!$C$2:$C$10,MATCH(D23,'Limitation Inputs'!$A$2:$A$10,0))&gt;0,INDEX('Limitation Inputs'!$C$2:$C$10,MATCH(D23,'Limitation Inputs'!$A$2:$A$10,0)),EDATE(K23,36)),IF(J23="74",EDATE(K23,60),EDATE(L23,12))))</f>
        <v/>
      </c>
      <c r="N23" s="32" t="str">
        <f aca="false">IF(D23="","",IF(AND(J23="74A",N(E23)&lt;1000),"Below ₹1,000 – no SCN",IF('Limitation Inputs'!$B$13&gt;M23,"Order time-barred",IF('Limitation Inputs'!$B$13&gt;L23,"SCN time-barred","Open")))&amp;IF(AND(J23="73",VALUE(LEFT(D23,4))&lt;=2019)," | 168A ext. sub judice",""))</f>
        <v/>
      </c>
      <c r="O23" s="33"/>
      <c r="P23" s="36" t="str">
        <f aca="false">IF(OR(D23="",O23=""),"",IF(I23="Non-fraud",IF(OR(O23="Before SCN",O23="Within window of SCN"),0,0.1),IF(O23="Before SCN",0.15,IF(O23="Within window of SCN",0.25,IF(O23="Within window of order",0.5,1)))))</f>
        <v/>
      </c>
      <c r="Q23" s="37" t="str">
        <f aca="false">IF(P23="","",IF(AND(I23="Non-fraud",P23&gt;0),MAX(E23*P23,10000),E23*P23))</f>
        <v/>
      </c>
      <c r="R23" s="38"/>
      <c r="S23" s="38"/>
      <c r="T23" s="37" t="str">
        <f aca="false">IF(OR(R23="",S23="",E23=""),"",ROUND(E23*'Limitation Inputs'!$B$12*(S23-R23)/365,0))</f>
        <v/>
      </c>
      <c r="U23" s="37" t="str">
        <f aca="false">IF(D23="","",N(E23)+N(Q23)+N(T23))</f>
        <v/>
      </c>
      <c r="V23" s="32" t="str">
        <f aca="false">IF(D23="","",IF(AND(J23="73",VALUE(LEFT(D23,4))&lt;=2019),"Eligible if tax paid by 31-Mar-2025","No"))</f>
        <v/>
      </c>
      <c r="W23" s="33"/>
    </row>
    <row r="24" customFormat="false" ht="15" hidden="false" customHeight="false" outlineLevel="0" collapsed="false">
      <c r="A24" s="32" t="n">
        <v>23</v>
      </c>
      <c r="B24" s="33"/>
      <c r="C24" s="32" t="str">
        <f aca="false">IF(B24="","",IFERROR(INDEX('Rule Matrix'!$C$2:$C$142,MATCH(B24,'Rule Matrix'!$A$2:$A$142,0)),"Rule ID not found"))</f>
        <v/>
      </c>
      <c r="D24" s="33"/>
      <c r="E24" s="34"/>
      <c r="F24" s="33"/>
      <c r="G24" s="33"/>
      <c r="H24" s="33"/>
      <c r="I24" s="32" t="str">
        <f aca="false">IF(D24="","",IF(OR(F24="Y",G24="Y",H24="Y"),"Fraud","Non-fraud"))</f>
        <v/>
      </c>
      <c r="J24" s="32" t="str">
        <f aca="false">IF(D24="","",IF(VALUE(LEFT(D24,4))&lt;=2023,IF(I24="Fraud","74","73"),"74A"))</f>
        <v/>
      </c>
      <c r="K24" s="35" t="str">
        <f aca="false">IF(D24="","",INDEX('Limitation Inputs'!$B$2:$B$10,MATCH(D24,'Limitation Inputs'!$A$2:$A$10,0)))</f>
        <v/>
      </c>
      <c r="L24" s="35" t="str">
        <f aca="false">IF(D24="","",IF(J24="74A",EDATE(K24,42),IF(J24="73",EDATE(M24,-3),EDATE(M24,-6))))</f>
        <v/>
      </c>
      <c r="M24" s="35" t="str">
        <f aca="false">IF(D24="","",IF(J24="73",IF(INDEX('Limitation Inputs'!$C$2:$C$10,MATCH(D24,'Limitation Inputs'!$A$2:$A$10,0))&gt;0,INDEX('Limitation Inputs'!$C$2:$C$10,MATCH(D24,'Limitation Inputs'!$A$2:$A$10,0)),EDATE(K24,36)),IF(J24="74",EDATE(K24,60),EDATE(L24,12))))</f>
        <v/>
      </c>
      <c r="N24" s="32" t="str">
        <f aca="false">IF(D24="","",IF(AND(J24="74A",N(E24)&lt;1000),"Below ₹1,000 – no SCN",IF('Limitation Inputs'!$B$13&gt;M24,"Order time-barred",IF('Limitation Inputs'!$B$13&gt;L24,"SCN time-barred","Open")))&amp;IF(AND(J24="73",VALUE(LEFT(D24,4))&lt;=2019)," | 168A ext. sub judice",""))</f>
        <v/>
      </c>
      <c r="O24" s="33"/>
      <c r="P24" s="36" t="str">
        <f aca="false">IF(OR(D24="",O24=""),"",IF(I24="Non-fraud",IF(OR(O24="Before SCN",O24="Within window of SCN"),0,0.1),IF(O24="Before SCN",0.15,IF(O24="Within window of SCN",0.25,IF(O24="Within window of order",0.5,1)))))</f>
        <v/>
      </c>
      <c r="Q24" s="37" t="str">
        <f aca="false">IF(P24="","",IF(AND(I24="Non-fraud",P24&gt;0),MAX(E24*P24,10000),E24*P24))</f>
        <v/>
      </c>
      <c r="R24" s="38"/>
      <c r="S24" s="38"/>
      <c r="T24" s="37" t="str">
        <f aca="false">IF(OR(R24="",S24="",E24=""),"",ROUND(E24*'Limitation Inputs'!$B$12*(S24-R24)/365,0))</f>
        <v/>
      </c>
      <c r="U24" s="37" t="str">
        <f aca="false">IF(D24="","",N(E24)+N(Q24)+N(T24))</f>
        <v/>
      </c>
      <c r="V24" s="32" t="str">
        <f aca="false">IF(D24="","",IF(AND(J24="73",VALUE(LEFT(D24,4))&lt;=2019),"Eligible if tax paid by 31-Mar-2025","No"))</f>
        <v/>
      </c>
      <c r="W24" s="33"/>
    </row>
    <row r="25" customFormat="false" ht="15" hidden="false" customHeight="false" outlineLevel="0" collapsed="false">
      <c r="A25" s="32" t="n">
        <v>24</v>
      </c>
      <c r="B25" s="33"/>
      <c r="C25" s="32" t="str">
        <f aca="false">IF(B25="","",IFERROR(INDEX('Rule Matrix'!$C$2:$C$142,MATCH(B25,'Rule Matrix'!$A$2:$A$142,0)),"Rule ID not found"))</f>
        <v/>
      </c>
      <c r="D25" s="33"/>
      <c r="E25" s="34"/>
      <c r="F25" s="33"/>
      <c r="G25" s="33"/>
      <c r="H25" s="33"/>
      <c r="I25" s="32" t="str">
        <f aca="false">IF(D25="","",IF(OR(F25="Y",G25="Y",H25="Y"),"Fraud","Non-fraud"))</f>
        <v/>
      </c>
      <c r="J25" s="32" t="str">
        <f aca="false">IF(D25="","",IF(VALUE(LEFT(D25,4))&lt;=2023,IF(I25="Fraud","74","73"),"74A"))</f>
        <v/>
      </c>
      <c r="K25" s="35" t="str">
        <f aca="false">IF(D25="","",INDEX('Limitation Inputs'!$B$2:$B$10,MATCH(D25,'Limitation Inputs'!$A$2:$A$10,0)))</f>
        <v/>
      </c>
      <c r="L25" s="35" t="str">
        <f aca="false">IF(D25="","",IF(J25="74A",EDATE(K25,42),IF(J25="73",EDATE(M25,-3),EDATE(M25,-6))))</f>
        <v/>
      </c>
      <c r="M25" s="35" t="str">
        <f aca="false">IF(D25="","",IF(J25="73",IF(INDEX('Limitation Inputs'!$C$2:$C$10,MATCH(D25,'Limitation Inputs'!$A$2:$A$10,0))&gt;0,INDEX('Limitation Inputs'!$C$2:$C$10,MATCH(D25,'Limitation Inputs'!$A$2:$A$10,0)),EDATE(K25,36)),IF(J25="74",EDATE(K25,60),EDATE(L25,12))))</f>
        <v/>
      </c>
      <c r="N25" s="32" t="str">
        <f aca="false">IF(D25="","",IF(AND(J25="74A",N(E25)&lt;1000),"Below ₹1,000 – no SCN",IF('Limitation Inputs'!$B$13&gt;M25,"Order time-barred",IF('Limitation Inputs'!$B$13&gt;L25,"SCN time-barred","Open")))&amp;IF(AND(J25="73",VALUE(LEFT(D25,4))&lt;=2019)," | 168A ext. sub judice",""))</f>
        <v/>
      </c>
      <c r="O25" s="33"/>
      <c r="P25" s="36" t="str">
        <f aca="false">IF(OR(D25="",O25=""),"",IF(I25="Non-fraud",IF(OR(O25="Before SCN",O25="Within window of SCN"),0,0.1),IF(O25="Before SCN",0.15,IF(O25="Within window of SCN",0.25,IF(O25="Within window of order",0.5,1)))))</f>
        <v/>
      </c>
      <c r="Q25" s="37" t="str">
        <f aca="false">IF(P25="","",IF(AND(I25="Non-fraud",P25&gt;0),MAX(E25*P25,10000),E25*P25))</f>
        <v/>
      </c>
      <c r="R25" s="38"/>
      <c r="S25" s="38"/>
      <c r="T25" s="37" t="str">
        <f aca="false">IF(OR(R25="",S25="",E25=""),"",ROUND(E25*'Limitation Inputs'!$B$12*(S25-R25)/365,0))</f>
        <v/>
      </c>
      <c r="U25" s="37" t="str">
        <f aca="false">IF(D25="","",N(E25)+N(Q25)+N(T25))</f>
        <v/>
      </c>
      <c r="V25" s="32" t="str">
        <f aca="false">IF(D25="","",IF(AND(J25="73",VALUE(LEFT(D25,4))&lt;=2019),"Eligible if tax paid by 31-Mar-2025","No"))</f>
        <v/>
      </c>
      <c r="W25" s="33"/>
    </row>
    <row r="26" customFormat="false" ht="15" hidden="false" customHeight="false" outlineLevel="0" collapsed="false">
      <c r="A26" s="32" t="n">
        <v>25</v>
      </c>
      <c r="B26" s="33"/>
      <c r="C26" s="32" t="str">
        <f aca="false">IF(B26="","",IFERROR(INDEX('Rule Matrix'!$C$2:$C$142,MATCH(B26,'Rule Matrix'!$A$2:$A$142,0)),"Rule ID not found"))</f>
        <v/>
      </c>
      <c r="D26" s="33"/>
      <c r="E26" s="34"/>
      <c r="F26" s="33"/>
      <c r="G26" s="33"/>
      <c r="H26" s="33"/>
      <c r="I26" s="32" t="str">
        <f aca="false">IF(D26="","",IF(OR(F26="Y",G26="Y",H26="Y"),"Fraud","Non-fraud"))</f>
        <v/>
      </c>
      <c r="J26" s="32" t="str">
        <f aca="false">IF(D26="","",IF(VALUE(LEFT(D26,4))&lt;=2023,IF(I26="Fraud","74","73"),"74A"))</f>
        <v/>
      </c>
      <c r="K26" s="35" t="str">
        <f aca="false">IF(D26="","",INDEX('Limitation Inputs'!$B$2:$B$10,MATCH(D26,'Limitation Inputs'!$A$2:$A$10,0)))</f>
        <v/>
      </c>
      <c r="L26" s="35" t="str">
        <f aca="false">IF(D26="","",IF(J26="74A",EDATE(K26,42),IF(J26="73",EDATE(M26,-3),EDATE(M26,-6))))</f>
        <v/>
      </c>
      <c r="M26" s="35" t="str">
        <f aca="false">IF(D26="","",IF(J26="73",IF(INDEX('Limitation Inputs'!$C$2:$C$10,MATCH(D26,'Limitation Inputs'!$A$2:$A$10,0))&gt;0,INDEX('Limitation Inputs'!$C$2:$C$10,MATCH(D26,'Limitation Inputs'!$A$2:$A$10,0)),EDATE(K26,36)),IF(J26="74",EDATE(K26,60),EDATE(L26,12))))</f>
        <v/>
      </c>
      <c r="N26" s="32" t="str">
        <f aca="false">IF(D26="","",IF(AND(J26="74A",N(E26)&lt;1000),"Below ₹1,000 – no SCN",IF('Limitation Inputs'!$B$13&gt;M26,"Order time-barred",IF('Limitation Inputs'!$B$13&gt;L26,"SCN time-barred","Open")))&amp;IF(AND(J26="73",VALUE(LEFT(D26,4))&lt;=2019)," | 168A ext. sub judice",""))</f>
        <v/>
      </c>
      <c r="O26" s="33"/>
      <c r="P26" s="36" t="str">
        <f aca="false">IF(OR(D26="",O26=""),"",IF(I26="Non-fraud",IF(OR(O26="Before SCN",O26="Within window of SCN"),0,0.1),IF(O26="Before SCN",0.15,IF(O26="Within window of SCN",0.25,IF(O26="Within window of order",0.5,1)))))</f>
        <v/>
      </c>
      <c r="Q26" s="37" t="str">
        <f aca="false">IF(P26="","",IF(AND(I26="Non-fraud",P26&gt;0),MAX(E26*P26,10000),E26*P26))</f>
        <v/>
      </c>
      <c r="R26" s="38"/>
      <c r="S26" s="38"/>
      <c r="T26" s="37" t="str">
        <f aca="false">IF(OR(R26="",S26="",E26=""),"",ROUND(E26*'Limitation Inputs'!$B$12*(S26-R26)/365,0))</f>
        <v/>
      </c>
      <c r="U26" s="37" t="str">
        <f aca="false">IF(D26="","",N(E26)+N(Q26)+N(T26))</f>
        <v/>
      </c>
      <c r="V26" s="32" t="str">
        <f aca="false">IF(D26="","",IF(AND(J26="73",VALUE(LEFT(D26,4))&lt;=2019),"Eligible if tax paid by 31-Mar-2025","No"))</f>
        <v/>
      </c>
      <c r="W26" s="33"/>
    </row>
    <row r="28" customFormat="false" ht="15" hidden="false" customHeight="false" outlineLevel="0" collapsed="false">
      <c r="A28" s="18" t="s">
        <v>1110</v>
      </c>
    </row>
    <row r="29" customFormat="false" ht="15" hidden="false" customHeight="false" outlineLevel="0" collapsed="false">
      <c r="A29" s="19" t="s">
        <v>1111</v>
      </c>
    </row>
    <row r="30" customFormat="false" ht="15" hidden="false" customHeight="false" outlineLevel="0" collapsed="false">
      <c r="A30" s="19" t="s">
        <v>1112</v>
      </c>
    </row>
    <row r="31" customFormat="false" ht="15" hidden="false" customHeight="false" outlineLevel="0" collapsed="false">
      <c r="A31" s="19" t="s">
        <v>1113</v>
      </c>
    </row>
    <row r="32" customFormat="false" ht="15" hidden="false" customHeight="false" outlineLevel="0" collapsed="false">
      <c r="A32" s="19" t="s">
        <v>1114</v>
      </c>
    </row>
    <row r="33" customFormat="false" ht="15" hidden="false" customHeight="false" outlineLevel="0" collapsed="false">
      <c r="A33" s="19" t="s">
        <v>1115</v>
      </c>
    </row>
    <row r="34" customFormat="false" ht="15" hidden="false" customHeight="false" outlineLevel="0" collapsed="false">
      <c r="A34" s="19" t="s">
        <v>1116</v>
      </c>
    </row>
  </sheetData>
  <dataValidations count="3">
    <dataValidation allowBlank="true" errorStyle="stop" operator="between" showDropDown="false" showErrorMessage="false" showInputMessage="false" sqref="D2:D26" type="list">
      <formula1>'Limitation Inputs'!$A$2:$A$10</formula1>
      <formula2>0</formula2>
    </dataValidation>
    <dataValidation allowBlank="true" errorStyle="stop" operator="between" showDropDown="false" showErrorMessage="false" showInputMessage="false" sqref="F2:H26" type="list">
      <formula1>"Y,N"</formula1>
      <formula2>0</formula2>
    </dataValidation>
    <dataValidation allowBlank="true" errorStyle="stop" operator="between" showDropDown="false" showErrorMessage="false" showInputMessage="false" sqref="O2:O26" type="list">
      <formula1>"Before SCN,Within window of SCN,Within window of order,After window / 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45" hidden="false" customHeight="true" outlineLevel="0" collapsed="false">
      <c r="A1" s="13" t="s">
        <v>152</v>
      </c>
      <c r="B1" s="13" t="s">
        <v>153</v>
      </c>
      <c r="C1" s="13" t="s">
        <v>154</v>
      </c>
      <c r="D1" s="13" t="s">
        <v>1117</v>
      </c>
      <c r="E1" s="13" t="s">
        <v>132</v>
      </c>
      <c r="F1" s="13" t="s">
        <v>1118</v>
      </c>
      <c r="G1" s="13" t="s">
        <v>1119</v>
      </c>
      <c r="H1" s="13" t="s">
        <v>137</v>
      </c>
      <c r="I1" s="13" t="s">
        <v>146</v>
      </c>
      <c r="J1" s="13" t="s">
        <v>1120</v>
      </c>
      <c r="K1" s="13" t="s">
        <v>140</v>
      </c>
      <c r="L1" s="13" t="s">
        <v>143</v>
      </c>
      <c r="M1" s="13" t="s">
        <v>1121</v>
      </c>
      <c r="N1" s="13" t="s">
        <v>1122</v>
      </c>
      <c r="O1" s="13" t="s">
        <v>1123</v>
      </c>
    </row>
    <row r="2" customFormat="false" ht="15" hidden="false" customHeight="false" outlineLevel="0" collapsed="false">
      <c r="A2" s="32" t="s">
        <v>184</v>
      </c>
      <c r="B2" s="32" t="s">
        <v>169</v>
      </c>
      <c r="C2" s="32" t="s">
        <v>185</v>
      </c>
      <c r="D2" s="39"/>
      <c r="E2" s="40" t="s">
        <v>134</v>
      </c>
      <c r="F2" s="40" t="s">
        <v>134</v>
      </c>
      <c r="G2" s="40" t="s">
        <v>134</v>
      </c>
      <c r="H2" s="40" t="s">
        <v>134</v>
      </c>
      <c r="I2" s="40" t="s">
        <v>134</v>
      </c>
      <c r="J2" s="40" t="s">
        <v>134</v>
      </c>
      <c r="K2" s="40" t="s">
        <v>134</v>
      </c>
      <c r="L2" s="40" t="s">
        <v>134</v>
      </c>
      <c r="M2" s="40" t="s">
        <v>134</v>
      </c>
      <c r="N2" s="40" t="s">
        <v>134</v>
      </c>
      <c r="O2" s="40" t="s">
        <v>134</v>
      </c>
    </row>
    <row r="3" customFormat="false" ht="15" hidden="false" customHeight="false" outlineLevel="0" collapsed="false">
      <c r="A3" s="32" t="s">
        <v>192</v>
      </c>
      <c r="B3" s="32" t="s">
        <v>169</v>
      </c>
      <c r="C3" s="32" t="s">
        <v>193</v>
      </c>
      <c r="D3" s="39"/>
      <c r="E3" s="40" t="s">
        <v>134</v>
      </c>
      <c r="F3" s="40" t="s">
        <v>134</v>
      </c>
      <c r="G3" s="40" t="s">
        <v>134</v>
      </c>
      <c r="H3" s="40" t="s">
        <v>134</v>
      </c>
      <c r="I3" s="40" t="s">
        <v>134</v>
      </c>
      <c r="J3" s="40" t="s">
        <v>134</v>
      </c>
      <c r="K3" s="40" t="s">
        <v>134</v>
      </c>
      <c r="L3" s="40" t="s">
        <v>134</v>
      </c>
      <c r="M3" s="40" t="s">
        <v>134</v>
      </c>
      <c r="N3" s="40" t="s">
        <v>134</v>
      </c>
      <c r="O3" s="40" t="s">
        <v>134</v>
      </c>
    </row>
    <row r="4" customFormat="false" ht="15" hidden="false" customHeight="false" outlineLevel="0" collapsed="false">
      <c r="A4" s="32" t="s">
        <v>201</v>
      </c>
      <c r="B4" s="32" t="s">
        <v>169</v>
      </c>
      <c r="C4" s="32" t="s">
        <v>202</v>
      </c>
      <c r="D4" s="39"/>
      <c r="E4" s="40" t="s">
        <v>134</v>
      </c>
      <c r="F4" s="40" t="s">
        <v>134</v>
      </c>
      <c r="G4" s="40" t="s">
        <v>134</v>
      </c>
      <c r="H4" s="40" t="s">
        <v>134</v>
      </c>
      <c r="I4" s="40" t="s">
        <v>134</v>
      </c>
      <c r="J4" s="40" t="s">
        <v>134</v>
      </c>
      <c r="K4" s="40" t="s">
        <v>134</v>
      </c>
      <c r="L4" s="40" t="s">
        <v>134</v>
      </c>
      <c r="M4" s="40" t="s">
        <v>134</v>
      </c>
      <c r="N4" s="40" t="s">
        <v>134</v>
      </c>
      <c r="O4" s="40" t="s">
        <v>134</v>
      </c>
    </row>
    <row r="5" customFormat="false" ht="15" hidden="false" customHeight="false" outlineLevel="0" collapsed="false">
      <c r="A5" s="32" t="s">
        <v>209</v>
      </c>
      <c r="B5" s="32" t="s">
        <v>170</v>
      </c>
      <c r="C5" s="32" t="s">
        <v>210</v>
      </c>
      <c r="D5" s="39"/>
      <c r="E5" s="40" t="s">
        <v>134</v>
      </c>
      <c r="F5" s="40" t="s">
        <v>134</v>
      </c>
      <c r="G5" s="40" t="s">
        <v>134</v>
      </c>
      <c r="H5" s="40" t="s">
        <v>134</v>
      </c>
      <c r="I5" s="40" t="s">
        <v>134</v>
      </c>
      <c r="J5" s="40" t="s">
        <v>134</v>
      </c>
      <c r="K5" s="40" t="s">
        <v>134</v>
      </c>
      <c r="L5" s="40" t="s">
        <v>134</v>
      </c>
      <c r="M5" s="40" t="s">
        <v>134</v>
      </c>
      <c r="N5" s="40" t="s">
        <v>134</v>
      </c>
      <c r="O5" s="40" t="s">
        <v>134</v>
      </c>
    </row>
    <row r="6" customFormat="false" ht="15" hidden="false" customHeight="false" outlineLevel="0" collapsed="false">
      <c r="A6" s="32" t="s">
        <v>217</v>
      </c>
      <c r="B6" s="32" t="s">
        <v>170</v>
      </c>
      <c r="C6" s="32" t="s">
        <v>218</v>
      </c>
      <c r="D6" s="39"/>
      <c r="E6" s="40" t="s">
        <v>134</v>
      </c>
      <c r="F6" s="40" t="s">
        <v>134</v>
      </c>
      <c r="G6" s="40" t="s">
        <v>134</v>
      </c>
      <c r="H6" s="40" t="s">
        <v>134</v>
      </c>
      <c r="I6" s="40" t="s">
        <v>134</v>
      </c>
      <c r="J6" s="40" t="s">
        <v>134</v>
      </c>
      <c r="K6" s="40" t="s">
        <v>134</v>
      </c>
      <c r="L6" s="40" t="s">
        <v>134</v>
      </c>
      <c r="M6" s="40" t="s">
        <v>134</v>
      </c>
      <c r="N6" s="40" t="s">
        <v>134</v>
      </c>
      <c r="O6" s="40" t="s">
        <v>134</v>
      </c>
    </row>
    <row r="7" customFormat="false" ht="15" hidden="false" customHeight="false" outlineLevel="0" collapsed="false">
      <c r="A7" s="32" t="s">
        <v>225</v>
      </c>
      <c r="B7" s="32" t="s">
        <v>170</v>
      </c>
      <c r="C7" s="32" t="s">
        <v>226</v>
      </c>
      <c r="D7" s="39"/>
      <c r="E7" s="40" t="s">
        <v>134</v>
      </c>
      <c r="F7" s="40" t="s">
        <v>134</v>
      </c>
      <c r="G7" s="40" t="s">
        <v>134</v>
      </c>
      <c r="H7" s="40" t="s">
        <v>134</v>
      </c>
      <c r="I7" s="40" t="s">
        <v>134</v>
      </c>
      <c r="J7" s="40" t="s">
        <v>134</v>
      </c>
      <c r="K7" s="40" t="s">
        <v>134</v>
      </c>
      <c r="L7" s="40" t="s">
        <v>134</v>
      </c>
      <c r="M7" s="40" t="s">
        <v>134</v>
      </c>
      <c r="N7" s="40" t="s">
        <v>134</v>
      </c>
      <c r="O7" s="40" t="s">
        <v>134</v>
      </c>
    </row>
    <row r="8" customFormat="false" ht="15" hidden="false" customHeight="false" outlineLevel="0" collapsed="false">
      <c r="A8" s="32" t="s">
        <v>232</v>
      </c>
      <c r="B8" s="32" t="s">
        <v>170</v>
      </c>
      <c r="C8" s="32" t="s">
        <v>233</v>
      </c>
      <c r="D8" s="39"/>
      <c r="E8" s="40" t="s">
        <v>134</v>
      </c>
      <c r="F8" s="40" t="s">
        <v>134</v>
      </c>
      <c r="G8" s="40" t="s">
        <v>134</v>
      </c>
      <c r="H8" s="40" t="s">
        <v>134</v>
      </c>
      <c r="I8" s="40" t="s">
        <v>134</v>
      </c>
      <c r="J8" s="40" t="s">
        <v>134</v>
      </c>
      <c r="K8" s="40" t="s">
        <v>134</v>
      </c>
      <c r="L8" s="40" t="s">
        <v>134</v>
      </c>
      <c r="M8" s="40" t="s">
        <v>134</v>
      </c>
      <c r="N8" s="40" t="s">
        <v>134</v>
      </c>
      <c r="O8" s="40" t="s">
        <v>134</v>
      </c>
    </row>
    <row r="9" customFormat="false" ht="15" hidden="false" customHeight="false" outlineLevel="0" collapsed="false">
      <c r="A9" s="32" t="s">
        <v>239</v>
      </c>
      <c r="B9" s="32" t="s">
        <v>170</v>
      </c>
      <c r="C9" s="32" t="s">
        <v>240</v>
      </c>
      <c r="D9" s="39"/>
      <c r="E9" s="40" t="s">
        <v>134</v>
      </c>
      <c r="F9" s="40" t="s">
        <v>134</v>
      </c>
      <c r="G9" s="40" t="s">
        <v>134</v>
      </c>
      <c r="H9" s="40" t="s">
        <v>134</v>
      </c>
      <c r="I9" s="40" t="s">
        <v>134</v>
      </c>
      <c r="J9" s="40" t="s">
        <v>134</v>
      </c>
      <c r="K9" s="40" t="s">
        <v>134</v>
      </c>
      <c r="L9" s="40" t="s">
        <v>134</v>
      </c>
      <c r="M9" s="40" t="s">
        <v>134</v>
      </c>
      <c r="N9" s="40" t="s">
        <v>134</v>
      </c>
      <c r="O9" s="40" t="s">
        <v>134</v>
      </c>
    </row>
    <row r="10" customFormat="false" ht="15" hidden="false" customHeight="false" outlineLevel="0" collapsed="false">
      <c r="A10" s="32" t="s">
        <v>246</v>
      </c>
      <c r="B10" s="32" t="s">
        <v>170</v>
      </c>
      <c r="C10" s="32" t="s">
        <v>247</v>
      </c>
      <c r="D10" s="39"/>
      <c r="E10" s="40" t="s">
        <v>134</v>
      </c>
      <c r="F10" s="40" t="s">
        <v>134</v>
      </c>
      <c r="G10" s="40" t="s">
        <v>134</v>
      </c>
      <c r="H10" s="40" t="s">
        <v>134</v>
      </c>
      <c r="I10" s="40" t="s">
        <v>134</v>
      </c>
      <c r="J10" s="40" t="s">
        <v>134</v>
      </c>
      <c r="K10" s="40" t="s">
        <v>134</v>
      </c>
      <c r="L10" s="40" t="s">
        <v>134</v>
      </c>
      <c r="M10" s="40" t="s">
        <v>134</v>
      </c>
      <c r="N10" s="40" t="s">
        <v>134</v>
      </c>
      <c r="O10" s="40" t="s">
        <v>134</v>
      </c>
    </row>
    <row r="11" customFormat="false" ht="15" hidden="false" customHeight="false" outlineLevel="0" collapsed="false">
      <c r="A11" s="32" t="s">
        <v>253</v>
      </c>
      <c r="B11" s="32" t="s">
        <v>170</v>
      </c>
      <c r="C11" s="32" t="s">
        <v>254</v>
      </c>
      <c r="D11" s="39"/>
      <c r="E11" s="40" t="s">
        <v>134</v>
      </c>
      <c r="F11" s="40" t="s">
        <v>134</v>
      </c>
      <c r="G11" s="40" t="s">
        <v>134</v>
      </c>
      <c r="H11" s="40" t="s">
        <v>134</v>
      </c>
      <c r="I11" s="40" t="s">
        <v>134</v>
      </c>
      <c r="J11" s="40" t="s">
        <v>134</v>
      </c>
      <c r="K11" s="40" t="s">
        <v>134</v>
      </c>
      <c r="L11" s="40" t="s">
        <v>134</v>
      </c>
      <c r="M11" s="40" t="s">
        <v>134</v>
      </c>
      <c r="N11" s="40" t="s">
        <v>134</v>
      </c>
      <c r="O11" s="40" t="s">
        <v>134</v>
      </c>
    </row>
    <row r="12" customFormat="false" ht="15" hidden="false" customHeight="false" outlineLevel="0" collapsed="false">
      <c r="A12" s="32" t="s">
        <v>260</v>
      </c>
      <c r="B12" s="32" t="s">
        <v>170</v>
      </c>
      <c r="C12" s="32" t="s">
        <v>261</v>
      </c>
      <c r="D12" s="39"/>
      <c r="E12" s="40" t="s">
        <v>134</v>
      </c>
      <c r="F12" s="40" t="s">
        <v>134</v>
      </c>
      <c r="G12" s="40" t="s">
        <v>134</v>
      </c>
      <c r="H12" s="40" t="s">
        <v>134</v>
      </c>
      <c r="I12" s="40" t="s">
        <v>134</v>
      </c>
      <c r="J12" s="40" t="s">
        <v>134</v>
      </c>
      <c r="K12" s="40" t="s">
        <v>134</v>
      </c>
      <c r="L12" s="40" t="s">
        <v>134</v>
      </c>
      <c r="M12" s="40" t="s">
        <v>134</v>
      </c>
      <c r="N12" s="40" t="s">
        <v>134</v>
      </c>
      <c r="O12" s="40" t="s">
        <v>134</v>
      </c>
    </row>
    <row r="13" customFormat="false" ht="15" hidden="false" customHeight="false" outlineLevel="0" collapsed="false">
      <c r="A13" s="32" t="s">
        <v>266</v>
      </c>
      <c r="B13" s="32" t="s">
        <v>170</v>
      </c>
      <c r="C13" s="32" t="s">
        <v>267</v>
      </c>
      <c r="D13" s="39" t="s">
        <v>125</v>
      </c>
      <c r="E13" s="40" t="s">
        <v>134</v>
      </c>
      <c r="F13" s="40" t="s">
        <v>134</v>
      </c>
      <c r="G13" s="40" t="s">
        <v>134</v>
      </c>
      <c r="H13" s="40" t="s">
        <v>134</v>
      </c>
      <c r="I13" s="40" t="s">
        <v>134</v>
      </c>
      <c r="J13" s="40" t="s">
        <v>134</v>
      </c>
      <c r="K13" s="40" t="s">
        <v>134</v>
      </c>
      <c r="L13" s="40" t="s">
        <v>134</v>
      </c>
      <c r="M13" s="40" t="s">
        <v>134</v>
      </c>
      <c r="N13" s="40" t="s">
        <v>134</v>
      </c>
      <c r="O13" s="40" t="s">
        <v>134</v>
      </c>
    </row>
    <row r="14" customFormat="false" ht="15" hidden="false" customHeight="false" outlineLevel="0" collapsed="false">
      <c r="A14" s="32" t="s">
        <v>273</v>
      </c>
      <c r="B14" s="32" t="s">
        <v>170</v>
      </c>
      <c r="C14" s="32" t="s">
        <v>274</v>
      </c>
      <c r="D14" s="39"/>
      <c r="E14" s="40" t="s">
        <v>134</v>
      </c>
      <c r="F14" s="40" t="s">
        <v>134</v>
      </c>
      <c r="G14" s="40" t="s">
        <v>134</v>
      </c>
      <c r="H14" s="40" t="s">
        <v>134</v>
      </c>
      <c r="I14" s="40" t="s">
        <v>134</v>
      </c>
      <c r="J14" s="40" t="s">
        <v>134</v>
      </c>
      <c r="K14" s="40" t="s">
        <v>134</v>
      </c>
      <c r="L14" s="40" t="s">
        <v>134</v>
      </c>
      <c r="M14" s="40" t="s">
        <v>134</v>
      </c>
      <c r="N14" s="40" t="s">
        <v>134</v>
      </c>
      <c r="O14" s="40" t="s">
        <v>134</v>
      </c>
    </row>
    <row r="15" customFormat="false" ht="15" hidden="false" customHeight="false" outlineLevel="0" collapsed="false">
      <c r="A15" s="32" t="s">
        <v>279</v>
      </c>
      <c r="B15" s="32" t="s">
        <v>170</v>
      </c>
      <c r="C15" s="32" t="s">
        <v>280</v>
      </c>
      <c r="D15" s="39"/>
      <c r="E15" s="40" t="s">
        <v>134</v>
      </c>
      <c r="F15" s="40" t="s">
        <v>134</v>
      </c>
      <c r="G15" s="40" t="s">
        <v>134</v>
      </c>
      <c r="H15" s="40" t="s">
        <v>134</v>
      </c>
      <c r="I15" s="40" t="s">
        <v>134</v>
      </c>
      <c r="J15" s="40" t="s">
        <v>134</v>
      </c>
      <c r="K15" s="40" t="s">
        <v>134</v>
      </c>
      <c r="L15" s="40" t="s">
        <v>134</v>
      </c>
      <c r="M15" s="40" t="s">
        <v>134</v>
      </c>
      <c r="N15" s="40" t="s">
        <v>134</v>
      </c>
      <c r="O15" s="40" t="s">
        <v>134</v>
      </c>
    </row>
    <row r="16" customFormat="false" ht="15" hidden="false" customHeight="false" outlineLevel="0" collapsed="false">
      <c r="A16" s="32" t="s">
        <v>286</v>
      </c>
      <c r="B16" s="32" t="s">
        <v>171</v>
      </c>
      <c r="C16" s="32" t="s">
        <v>287</v>
      </c>
      <c r="D16" s="39"/>
      <c r="E16" s="40" t="s">
        <v>134</v>
      </c>
      <c r="F16" s="40" t="s">
        <v>134</v>
      </c>
      <c r="G16" s="40" t="s">
        <v>134</v>
      </c>
      <c r="H16" s="40" t="s">
        <v>134</v>
      </c>
      <c r="I16" s="40" t="s">
        <v>134</v>
      </c>
      <c r="J16" s="40" t="s">
        <v>134</v>
      </c>
      <c r="K16" s="40" t="s">
        <v>134</v>
      </c>
      <c r="L16" s="40" t="s">
        <v>134</v>
      </c>
      <c r="M16" s="40" t="s">
        <v>134</v>
      </c>
      <c r="N16" s="40" t="s">
        <v>134</v>
      </c>
      <c r="O16" s="40" t="s">
        <v>134</v>
      </c>
    </row>
    <row r="17" customFormat="false" ht="15" hidden="false" customHeight="false" outlineLevel="0" collapsed="false">
      <c r="A17" s="32" t="s">
        <v>294</v>
      </c>
      <c r="B17" s="32" t="s">
        <v>171</v>
      </c>
      <c r="C17" s="32" t="s">
        <v>295</v>
      </c>
      <c r="D17" s="39"/>
      <c r="E17" s="40" t="s">
        <v>134</v>
      </c>
      <c r="F17" s="40" t="s">
        <v>134</v>
      </c>
      <c r="G17" s="40" t="s">
        <v>134</v>
      </c>
      <c r="H17" s="40" t="s">
        <v>134</v>
      </c>
      <c r="I17" s="40" t="s">
        <v>134</v>
      </c>
      <c r="J17" s="40" t="s">
        <v>134</v>
      </c>
      <c r="K17" s="40" t="s">
        <v>134</v>
      </c>
      <c r="L17" s="40" t="s">
        <v>134</v>
      </c>
      <c r="M17" s="40" t="s">
        <v>134</v>
      </c>
      <c r="N17" s="40" t="s">
        <v>134</v>
      </c>
      <c r="O17" s="40" t="s">
        <v>134</v>
      </c>
    </row>
    <row r="18" customFormat="false" ht="15" hidden="false" customHeight="false" outlineLevel="0" collapsed="false">
      <c r="A18" s="32" t="s">
        <v>300</v>
      </c>
      <c r="B18" s="32" t="s">
        <v>171</v>
      </c>
      <c r="C18" s="32" t="s">
        <v>301</v>
      </c>
      <c r="D18" s="39"/>
      <c r="E18" s="40" t="s">
        <v>134</v>
      </c>
      <c r="F18" s="40" t="s">
        <v>134</v>
      </c>
      <c r="G18" s="40" t="s">
        <v>134</v>
      </c>
      <c r="H18" s="40" t="s">
        <v>134</v>
      </c>
      <c r="I18" s="40" t="s">
        <v>134</v>
      </c>
      <c r="J18" s="40" t="s">
        <v>134</v>
      </c>
      <c r="K18" s="40" t="s">
        <v>134</v>
      </c>
      <c r="L18" s="40" t="s">
        <v>134</v>
      </c>
      <c r="M18" s="40" t="s">
        <v>134</v>
      </c>
      <c r="N18" s="40" t="s">
        <v>134</v>
      </c>
      <c r="O18" s="40" t="s">
        <v>134</v>
      </c>
    </row>
    <row r="19" customFormat="false" ht="15" hidden="false" customHeight="false" outlineLevel="0" collapsed="false">
      <c r="A19" s="32" t="s">
        <v>308</v>
      </c>
      <c r="B19" s="32" t="s">
        <v>171</v>
      </c>
      <c r="C19" s="32" t="s">
        <v>309</v>
      </c>
      <c r="D19" s="39" t="s">
        <v>125</v>
      </c>
      <c r="E19" s="40" t="s">
        <v>134</v>
      </c>
      <c r="F19" s="40" t="s">
        <v>134</v>
      </c>
      <c r="G19" s="40" t="s">
        <v>134</v>
      </c>
      <c r="H19" s="40" t="s">
        <v>134</v>
      </c>
      <c r="I19" s="40" t="s">
        <v>134</v>
      </c>
      <c r="J19" s="40" t="s">
        <v>134</v>
      </c>
      <c r="K19" s="40" t="s">
        <v>134</v>
      </c>
      <c r="L19" s="40" t="s">
        <v>134</v>
      </c>
      <c r="M19" s="40" t="s">
        <v>134</v>
      </c>
      <c r="N19" s="40" t="s">
        <v>134</v>
      </c>
      <c r="O19" s="40" t="s">
        <v>134</v>
      </c>
    </row>
    <row r="20" customFormat="false" ht="15" hidden="false" customHeight="false" outlineLevel="0" collapsed="false">
      <c r="A20" s="32" t="s">
        <v>316</v>
      </c>
      <c r="B20" s="32" t="s">
        <v>171</v>
      </c>
      <c r="C20" s="32" t="s">
        <v>317</v>
      </c>
      <c r="D20" s="39"/>
      <c r="E20" s="40" t="s">
        <v>133</v>
      </c>
      <c r="F20" s="40" t="s">
        <v>133</v>
      </c>
      <c r="G20" s="40" t="s">
        <v>134</v>
      </c>
      <c r="H20" s="40" t="s">
        <v>134</v>
      </c>
      <c r="I20" s="40" t="s">
        <v>133</v>
      </c>
      <c r="J20" s="40" t="s">
        <v>133</v>
      </c>
      <c r="K20" s="40" t="s">
        <v>133</v>
      </c>
      <c r="L20" s="40" t="s">
        <v>133</v>
      </c>
      <c r="M20" s="40" t="s">
        <v>133</v>
      </c>
      <c r="N20" s="40" t="s">
        <v>133</v>
      </c>
      <c r="O20" s="40" t="s">
        <v>133</v>
      </c>
    </row>
    <row r="21" customFormat="false" ht="15" hidden="false" customHeight="false" outlineLevel="0" collapsed="false">
      <c r="A21" s="32" t="s">
        <v>323</v>
      </c>
      <c r="B21" s="32" t="s">
        <v>172</v>
      </c>
      <c r="C21" s="32" t="s">
        <v>324</v>
      </c>
      <c r="D21" s="39"/>
      <c r="E21" s="40" t="s">
        <v>134</v>
      </c>
      <c r="F21" s="40" t="s">
        <v>134</v>
      </c>
      <c r="G21" s="40" t="s">
        <v>134</v>
      </c>
      <c r="H21" s="40" t="s">
        <v>134</v>
      </c>
      <c r="I21" s="40" t="s">
        <v>134</v>
      </c>
      <c r="J21" s="40" t="s">
        <v>134</v>
      </c>
      <c r="K21" s="40" t="s">
        <v>134</v>
      </c>
      <c r="L21" s="40" t="s">
        <v>134</v>
      </c>
      <c r="M21" s="40" t="s">
        <v>134</v>
      </c>
      <c r="N21" s="40" t="s">
        <v>134</v>
      </c>
      <c r="O21" s="40" t="s">
        <v>134</v>
      </c>
    </row>
    <row r="22" customFormat="false" ht="15" hidden="false" customHeight="false" outlineLevel="0" collapsed="false">
      <c r="A22" s="32" t="s">
        <v>330</v>
      </c>
      <c r="B22" s="32" t="s">
        <v>172</v>
      </c>
      <c r="C22" s="32" t="s">
        <v>331</v>
      </c>
      <c r="D22" s="39"/>
      <c r="E22" s="40" t="s">
        <v>134</v>
      </c>
      <c r="F22" s="40" t="s">
        <v>134</v>
      </c>
      <c r="G22" s="40" t="s">
        <v>134</v>
      </c>
      <c r="H22" s="40" t="s">
        <v>134</v>
      </c>
      <c r="I22" s="40" t="s">
        <v>134</v>
      </c>
      <c r="J22" s="40" t="s">
        <v>134</v>
      </c>
      <c r="K22" s="40" t="s">
        <v>134</v>
      </c>
      <c r="L22" s="40" t="s">
        <v>134</v>
      </c>
      <c r="M22" s="40" t="s">
        <v>134</v>
      </c>
      <c r="N22" s="40" t="s">
        <v>134</v>
      </c>
      <c r="O22" s="40" t="s">
        <v>134</v>
      </c>
    </row>
    <row r="23" customFormat="false" ht="15" hidden="false" customHeight="false" outlineLevel="0" collapsed="false">
      <c r="A23" s="32" t="s">
        <v>337</v>
      </c>
      <c r="B23" s="32" t="s">
        <v>172</v>
      </c>
      <c r="C23" s="32" t="s">
        <v>338</v>
      </c>
      <c r="D23" s="39"/>
      <c r="E23" s="40" t="s">
        <v>134</v>
      </c>
      <c r="F23" s="40" t="s">
        <v>134</v>
      </c>
      <c r="G23" s="40" t="s">
        <v>134</v>
      </c>
      <c r="H23" s="40" t="s">
        <v>134</v>
      </c>
      <c r="I23" s="40" t="s">
        <v>134</v>
      </c>
      <c r="J23" s="40" t="s">
        <v>134</v>
      </c>
      <c r="K23" s="40" t="s">
        <v>134</v>
      </c>
      <c r="L23" s="40" t="s">
        <v>134</v>
      </c>
      <c r="M23" s="40" t="s">
        <v>134</v>
      </c>
      <c r="N23" s="40" t="s">
        <v>134</v>
      </c>
      <c r="O23" s="40" t="s">
        <v>134</v>
      </c>
    </row>
    <row r="24" customFormat="false" ht="15" hidden="false" customHeight="false" outlineLevel="0" collapsed="false">
      <c r="A24" s="32" t="s">
        <v>343</v>
      </c>
      <c r="B24" s="32" t="s">
        <v>172</v>
      </c>
      <c r="C24" s="32" t="s">
        <v>344</v>
      </c>
      <c r="D24" s="39"/>
      <c r="E24" s="40" t="s">
        <v>134</v>
      </c>
      <c r="F24" s="40" t="s">
        <v>134</v>
      </c>
      <c r="G24" s="40" t="s">
        <v>134</v>
      </c>
      <c r="H24" s="40" t="s">
        <v>134</v>
      </c>
      <c r="I24" s="40" t="s">
        <v>134</v>
      </c>
      <c r="J24" s="40" t="s">
        <v>134</v>
      </c>
      <c r="K24" s="40" t="s">
        <v>134</v>
      </c>
      <c r="L24" s="40" t="s">
        <v>134</v>
      </c>
      <c r="M24" s="40" t="s">
        <v>134</v>
      </c>
      <c r="N24" s="40" t="s">
        <v>134</v>
      </c>
      <c r="O24" s="40" t="s">
        <v>134</v>
      </c>
    </row>
    <row r="25" customFormat="false" ht="15" hidden="false" customHeight="false" outlineLevel="0" collapsed="false">
      <c r="A25" s="32" t="s">
        <v>350</v>
      </c>
      <c r="B25" s="32" t="s">
        <v>172</v>
      </c>
      <c r="C25" s="32" t="s">
        <v>351</v>
      </c>
      <c r="D25" s="39"/>
      <c r="E25" s="40" t="s">
        <v>134</v>
      </c>
      <c r="F25" s="40" t="s">
        <v>134</v>
      </c>
      <c r="G25" s="40" t="s">
        <v>134</v>
      </c>
      <c r="H25" s="40" t="s">
        <v>134</v>
      </c>
      <c r="I25" s="40" t="s">
        <v>134</v>
      </c>
      <c r="J25" s="40" t="s">
        <v>134</v>
      </c>
      <c r="K25" s="40" t="s">
        <v>134</v>
      </c>
      <c r="L25" s="40" t="s">
        <v>134</v>
      </c>
      <c r="M25" s="40" t="s">
        <v>134</v>
      </c>
      <c r="N25" s="40" t="s">
        <v>134</v>
      </c>
      <c r="O25" s="40" t="s">
        <v>134</v>
      </c>
    </row>
    <row r="26" customFormat="false" ht="15" hidden="false" customHeight="false" outlineLevel="0" collapsed="false">
      <c r="A26" s="32" t="s">
        <v>355</v>
      </c>
      <c r="B26" s="32" t="s">
        <v>172</v>
      </c>
      <c r="C26" s="32" t="s">
        <v>356</v>
      </c>
      <c r="D26" s="39"/>
      <c r="E26" s="40" t="s">
        <v>134</v>
      </c>
      <c r="F26" s="40" t="s">
        <v>134</v>
      </c>
      <c r="G26" s="40" t="s">
        <v>134</v>
      </c>
      <c r="H26" s="40" t="s">
        <v>134</v>
      </c>
      <c r="I26" s="40" t="s">
        <v>134</v>
      </c>
      <c r="J26" s="40" t="s">
        <v>134</v>
      </c>
      <c r="K26" s="40" t="s">
        <v>134</v>
      </c>
      <c r="L26" s="40" t="s">
        <v>134</v>
      </c>
      <c r="M26" s="40" t="s">
        <v>134</v>
      </c>
      <c r="N26" s="40" t="s">
        <v>134</v>
      </c>
      <c r="O26" s="40" t="s">
        <v>134</v>
      </c>
    </row>
    <row r="27" customFormat="false" ht="15" hidden="false" customHeight="false" outlineLevel="0" collapsed="false">
      <c r="A27" s="32" t="s">
        <v>363</v>
      </c>
      <c r="B27" s="32" t="s">
        <v>172</v>
      </c>
      <c r="C27" s="32" t="s">
        <v>364</v>
      </c>
      <c r="D27" s="39" t="s">
        <v>124</v>
      </c>
      <c r="E27" s="40" t="s">
        <v>134</v>
      </c>
      <c r="F27" s="40" t="s">
        <v>134</v>
      </c>
      <c r="G27" s="40" t="s">
        <v>134</v>
      </c>
      <c r="H27" s="40" t="s">
        <v>134</v>
      </c>
      <c r="I27" s="40" t="s">
        <v>134</v>
      </c>
      <c r="J27" s="40" t="s">
        <v>134</v>
      </c>
      <c r="K27" s="40" t="s">
        <v>134</v>
      </c>
      <c r="L27" s="40" t="s">
        <v>134</v>
      </c>
      <c r="M27" s="40" t="s">
        <v>134</v>
      </c>
      <c r="N27" s="40" t="s">
        <v>134</v>
      </c>
      <c r="O27" s="40" t="s">
        <v>134</v>
      </c>
    </row>
    <row r="28" customFormat="false" ht="15" hidden="false" customHeight="false" outlineLevel="0" collapsed="false">
      <c r="A28" s="32" t="s">
        <v>371</v>
      </c>
      <c r="B28" s="32" t="s">
        <v>172</v>
      </c>
      <c r="C28" s="32" t="s">
        <v>372</v>
      </c>
      <c r="D28" s="39" t="s">
        <v>126</v>
      </c>
      <c r="E28" s="40" t="s">
        <v>134</v>
      </c>
      <c r="F28" s="40" t="s">
        <v>134</v>
      </c>
      <c r="G28" s="40" t="s">
        <v>134</v>
      </c>
      <c r="H28" s="40" t="s">
        <v>134</v>
      </c>
      <c r="I28" s="40" t="s">
        <v>134</v>
      </c>
      <c r="J28" s="40" t="s">
        <v>134</v>
      </c>
      <c r="K28" s="40" t="s">
        <v>134</v>
      </c>
      <c r="L28" s="40" t="s">
        <v>134</v>
      </c>
      <c r="M28" s="40" t="s">
        <v>134</v>
      </c>
      <c r="N28" s="40" t="s">
        <v>134</v>
      </c>
      <c r="O28" s="40" t="s">
        <v>134</v>
      </c>
    </row>
    <row r="29" customFormat="false" ht="15" hidden="false" customHeight="false" outlineLevel="0" collapsed="false">
      <c r="A29" s="32" t="s">
        <v>378</v>
      </c>
      <c r="B29" s="32" t="s">
        <v>173</v>
      </c>
      <c r="C29" s="32" t="s">
        <v>379</v>
      </c>
      <c r="D29" s="39"/>
      <c r="E29" s="40" t="s">
        <v>134</v>
      </c>
      <c r="F29" s="40" t="s">
        <v>134</v>
      </c>
      <c r="G29" s="40" t="s">
        <v>134</v>
      </c>
      <c r="H29" s="40" t="s">
        <v>134</v>
      </c>
      <c r="I29" s="40" t="s">
        <v>134</v>
      </c>
      <c r="J29" s="40" t="s">
        <v>134</v>
      </c>
      <c r="K29" s="40" t="s">
        <v>134</v>
      </c>
      <c r="L29" s="40" t="s">
        <v>134</v>
      </c>
      <c r="M29" s="40" t="s">
        <v>134</v>
      </c>
      <c r="N29" s="40" t="s">
        <v>134</v>
      </c>
      <c r="O29" s="40" t="s">
        <v>134</v>
      </c>
    </row>
    <row r="30" customFormat="false" ht="15" hidden="false" customHeight="false" outlineLevel="0" collapsed="false">
      <c r="A30" s="32" t="s">
        <v>384</v>
      </c>
      <c r="B30" s="32" t="s">
        <v>173</v>
      </c>
      <c r="C30" s="32" t="s">
        <v>385</v>
      </c>
      <c r="D30" s="39"/>
      <c r="E30" s="40" t="s">
        <v>134</v>
      </c>
      <c r="F30" s="40" t="s">
        <v>134</v>
      </c>
      <c r="G30" s="40" t="s">
        <v>134</v>
      </c>
      <c r="H30" s="40" t="s">
        <v>134</v>
      </c>
      <c r="I30" s="40" t="s">
        <v>134</v>
      </c>
      <c r="J30" s="40" t="s">
        <v>134</v>
      </c>
      <c r="K30" s="40" t="s">
        <v>134</v>
      </c>
      <c r="L30" s="40" t="s">
        <v>134</v>
      </c>
      <c r="M30" s="40" t="s">
        <v>134</v>
      </c>
      <c r="N30" s="40" t="s">
        <v>134</v>
      </c>
      <c r="O30" s="40" t="s">
        <v>134</v>
      </c>
    </row>
    <row r="31" customFormat="false" ht="15" hidden="false" customHeight="false" outlineLevel="0" collapsed="false">
      <c r="A31" s="32" t="s">
        <v>389</v>
      </c>
      <c r="B31" s="32" t="s">
        <v>173</v>
      </c>
      <c r="C31" s="32" t="s">
        <v>390</v>
      </c>
      <c r="D31" s="39"/>
      <c r="E31" s="40" t="s">
        <v>134</v>
      </c>
      <c r="F31" s="40" t="s">
        <v>134</v>
      </c>
      <c r="G31" s="40" t="s">
        <v>134</v>
      </c>
      <c r="H31" s="40" t="s">
        <v>134</v>
      </c>
      <c r="I31" s="40" t="s">
        <v>134</v>
      </c>
      <c r="J31" s="40" t="s">
        <v>134</v>
      </c>
      <c r="K31" s="40" t="s">
        <v>134</v>
      </c>
      <c r="L31" s="40" t="s">
        <v>134</v>
      </c>
      <c r="M31" s="40" t="s">
        <v>134</v>
      </c>
      <c r="N31" s="40" t="s">
        <v>134</v>
      </c>
      <c r="O31" s="40" t="s">
        <v>134</v>
      </c>
    </row>
    <row r="32" customFormat="false" ht="15" hidden="false" customHeight="false" outlineLevel="0" collapsed="false">
      <c r="A32" s="32" t="s">
        <v>394</v>
      </c>
      <c r="B32" s="32" t="s">
        <v>173</v>
      </c>
      <c r="C32" s="32" t="s">
        <v>395</v>
      </c>
      <c r="D32" s="39"/>
      <c r="E32" s="40" t="s">
        <v>134</v>
      </c>
      <c r="F32" s="40" t="s">
        <v>134</v>
      </c>
      <c r="G32" s="40" t="s">
        <v>134</v>
      </c>
      <c r="H32" s="40" t="s">
        <v>134</v>
      </c>
      <c r="I32" s="40" t="s">
        <v>134</v>
      </c>
      <c r="J32" s="40" t="s">
        <v>134</v>
      </c>
      <c r="K32" s="40" t="s">
        <v>134</v>
      </c>
      <c r="L32" s="40" t="s">
        <v>134</v>
      </c>
      <c r="M32" s="40" t="s">
        <v>134</v>
      </c>
      <c r="N32" s="40" t="s">
        <v>134</v>
      </c>
      <c r="O32" s="40" t="s">
        <v>134</v>
      </c>
    </row>
    <row r="33" customFormat="false" ht="15" hidden="false" customHeight="false" outlineLevel="0" collapsed="false">
      <c r="A33" s="32" t="s">
        <v>398</v>
      </c>
      <c r="B33" s="32" t="s">
        <v>173</v>
      </c>
      <c r="C33" s="32" t="s">
        <v>399</v>
      </c>
      <c r="D33" s="39"/>
      <c r="E33" s="40" t="s">
        <v>134</v>
      </c>
      <c r="F33" s="40" t="s">
        <v>134</v>
      </c>
      <c r="G33" s="40" t="s">
        <v>134</v>
      </c>
      <c r="H33" s="40" t="s">
        <v>134</v>
      </c>
      <c r="I33" s="40" t="s">
        <v>134</v>
      </c>
      <c r="J33" s="40" t="s">
        <v>134</v>
      </c>
      <c r="K33" s="40" t="s">
        <v>134</v>
      </c>
      <c r="L33" s="40" t="s">
        <v>134</v>
      </c>
      <c r="M33" s="40" t="s">
        <v>134</v>
      </c>
      <c r="N33" s="40" t="s">
        <v>134</v>
      </c>
      <c r="O33" s="40" t="s">
        <v>134</v>
      </c>
    </row>
    <row r="34" customFormat="false" ht="15" hidden="false" customHeight="false" outlineLevel="0" collapsed="false">
      <c r="A34" s="32" t="s">
        <v>402</v>
      </c>
      <c r="B34" s="32" t="s">
        <v>173</v>
      </c>
      <c r="C34" s="32" t="s">
        <v>403</v>
      </c>
      <c r="D34" s="39"/>
      <c r="E34" s="40" t="s">
        <v>134</v>
      </c>
      <c r="F34" s="40" t="s">
        <v>134</v>
      </c>
      <c r="G34" s="40" t="s">
        <v>134</v>
      </c>
      <c r="H34" s="40" t="s">
        <v>134</v>
      </c>
      <c r="I34" s="40" t="s">
        <v>134</v>
      </c>
      <c r="J34" s="40" t="s">
        <v>134</v>
      </c>
      <c r="K34" s="40" t="s">
        <v>134</v>
      </c>
      <c r="L34" s="40" t="s">
        <v>134</v>
      </c>
      <c r="M34" s="40" t="s">
        <v>134</v>
      </c>
      <c r="N34" s="40" t="s">
        <v>134</v>
      </c>
      <c r="O34" s="40" t="s">
        <v>134</v>
      </c>
    </row>
    <row r="35" customFormat="false" ht="15" hidden="false" customHeight="false" outlineLevel="0" collapsed="false">
      <c r="A35" s="32" t="s">
        <v>407</v>
      </c>
      <c r="B35" s="32" t="s">
        <v>173</v>
      </c>
      <c r="C35" s="32" t="s">
        <v>408</v>
      </c>
      <c r="D35" s="39"/>
      <c r="E35" s="40" t="s">
        <v>134</v>
      </c>
      <c r="F35" s="40" t="s">
        <v>134</v>
      </c>
      <c r="G35" s="40" t="s">
        <v>134</v>
      </c>
      <c r="H35" s="40" t="s">
        <v>134</v>
      </c>
      <c r="I35" s="40" t="s">
        <v>134</v>
      </c>
      <c r="J35" s="40" t="s">
        <v>134</v>
      </c>
      <c r="K35" s="40" t="s">
        <v>134</v>
      </c>
      <c r="L35" s="40" t="s">
        <v>134</v>
      </c>
      <c r="M35" s="40" t="s">
        <v>134</v>
      </c>
      <c r="N35" s="40" t="s">
        <v>134</v>
      </c>
      <c r="O35" s="40" t="s">
        <v>134</v>
      </c>
    </row>
    <row r="36" customFormat="false" ht="15" hidden="false" customHeight="false" outlineLevel="0" collapsed="false">
      <c r="A36" s="32" t="s">
        <v>411</v>
      </c>
      <c r="B36" s="32" t="s">
        <v>173</v>
      </c>
      <c r="C36" s="32" t="s">
        <v>412</v>
      </c>
      <c r="D36" s="39"/>
      <c r="E36" s="40" t="s">
        <v>134</v>
      </c>
      <c r="F36" s="40" t="s">
        <v>134</v>
      </c>
      <c r="G36" s="40" t="s">
        <v>134</v>
      </c>
      <c r="H36" s="40" t="s">
        <v>134</v>
      </c>
      <c r="I36" s="40" t="s">
        <v>134</v>
      </c>
      <c r="J36" s="40" t="s">
        <v>134</v>
      </c>
      <c r="K36" s="40" t="s">
        <v>134</v>
      </c>
      <c r="L36" s="40" t="s">
        <v>134</v>
      </c>
      <c r="M36" s="40" t="s">
        <v>134</v>
      </c>
      <c r="N36" s="40" t="s">
        <v>134</v>
      </c>
      <c r="O36" s="40" t="s">
        <v>134</v>
      </c>
    </row>
    <row r="37" customFormat="false" ht="15" hidden="false" customHeight="false" outlineLevel="0" collapsed="false">
      <c r="A37" s="32" t="s">
        <v>415</v>
      </c>
      <c r="B37" s="32" t="s">
        <v>173</v>
      </c>
      <c r="C37" s="32" t="s">
        <v>416</v>
      </c>
      <c r="D37" s="39"/>
      <c r="E37" s="40" t="s">
        <v>134</v>
      </c>
      <c r="F37" s="40" t="s">
        <v>134</v>
      </c>
      <c r="G37" s="40" t="s">
        <v>134</v>
      </c>
      <c r="H37" s="40" t="s">
        <v>134</v>
      </c>
      <c r="I37" s="40" t="s">
        <v>134</v>
      </c>
      <c r="J37" s="40" t="s">
        <v>134</v>
      </c>
      <c r="K37" s="40" t="s">
        <v>134</v>
      </c>
      <c r="L37" s="40" t="s">
        <v>134</v>
      </c>
      <c r="M37" s="40" t="s">
        <v>134</v>
      </c>
      <c r="N37" s="40" t="s">
        <v>134</v>
      </c>
      <c r="O37" s="40" t="s">
        <v>134</v>
      </c>
    </row>
    <row r="38" customFormat="false" ht="15" hidden="false" customHeight="false" outlineLevel="0" collapsed="false">
      <c r="A38" s="32" t="s">
        <v>420</v>
      </c>
      <c r="B38" s="32" t="s">
        <v>173</v>
      </c>
      <c r="C38" s="32" t="s">
        <v>421</v>
      </c>
      <c r="D38" s="39"/>
      <c r="E38" s="40" t="s">
        <v>134</v>
      </c>
      <c r="F38" s="40" t="s">
        <v>134</v>
      </c>
      <c r="G38" s="40" t="s">
        <v>134</v>
      </c>
      <c r="H38" s="40" t="s">
        <v>134</v>
      </c>
      <c r="I38" s="40" t="s">
        <v>134</v>
      </c>
      <c r="J38" s="40" t="s">
        <v>134</v>
      </c>
      <c r="K38" s="40" t="s">
        <v>134</v>
      </c>
      <c r="L38" s="40" t="s">
        <v>134</v>
      </c>
      <c r="M38" s="40" t="s">
        <v>134</v>
      </c>
      <c r="N38" s="40" t="s">
        <v>134</v>
      </c>
      <c r="O38" s="40" t="s">
        <v>134</v>
      </c>
    </row>
    <row r="39" customFormat="false" ht="15" hidden="false" customHeight="false" outlineLevel="0" collapsed="false">
      <c r="A39" s="32" t="s">
        <v>425</v>
      </c>
      <c r="B39" s="32" t="s">
        <v>173</v>
      </c>
      <c r="C39" s="32" t="s">
        <v>426</v>
      </c>
      <c r="D39" s="39"/>
      <c r="E39" s="40" t="s">
        <v>134</v>
      </c>
      <c r="F39" s="40" t="s">
        <v>134</v>
      </c>
      <c r="G39" s="40" t="s">
        <v>134</v>
      </c>
      <c r="H39" s="40" t="s">
        <v>134</v>
      </c>
      <c r="I39" s="40" t="s">
        <v>134</v>
      </c>
      <c r="J39" s="40" t="s">
        <v>134</v>
      </c>
      <c r="K39" s="40" t="s">
        <v>134</v>
      </c>
      <c r="L39" s="40" t="s">
        <v>134</v>
      </c>
      <c r="M39" s="40" t="s">
        <v>134</v>
      </c>
      <c r="N39" s="40" t="s">
        <v>134</v>
      </c>
      <c r="O39" s="40" t="s">
        <v>134</v>
      </c>
    </row>
    <row r="40" customFormat="false" ht="15" hidden="false" customHeight="false" outlineLevel="0" collapsed="false">
      <c r="A40" s="32" t="s">
        <v>429</v>
      </c>
      <c r="B40" s="32" t="s">
        <v>173</v>
      </c>
      <c r="C40" s="32" t="s">
        <v>430</v>
      </c>
      <c r="D40" s="39"/>
      <c r="E40" s="40" t="s">
        <v>134</v>
      </c>
      <c r="F40" s="40" t="s">
        <v>134</v>
      </c>
      <c r="G40" s="40" t="s">
        <v>134</v>
      </c>
      <c r="H40" s="40" t="s">
        <v>134</v>
      </c>
      <c r="I40" s="40" t="s">
        <v>134</v>
      </c>
      <c r="J40" s="40" t="s">
        <v>134</v>
      </c>
      <c r="K40" s="40" t="s">
        <v>134</v>
      </c>
      <c r="L40" s="40" t="s">
        <v>134</v>
      </c>
      <c r="M40" s="40" t="s">
        <v>134</v>
      </c>
      <c r="N40" s="40" t="s">
        <v>134</v>
      </c>
      <c r="O40" s="40" t="s">
        <v>134</v>
      </c>
    </row>
    <row r="41" customFormat="false" ht="15" hidden="false" customHeight="false" outlineLevel="0" collapsed="false">
      <c r="A41" s="32" t="s">
        <v>434</v>
      </c>
      <c r="B41" s="32" t="s">
        <v>173</v>
      </c>
      <c r="C41" s="32" t="s">
        <v>435</v>
      </c>
      <c r="D41" s="39"/>
      <c r="E41" s="40" t="s">
        <v>134</v>
      </c>
      <c r="F41" s="40" t="s">
        <v>134</v>
      </c>
      <c r="G41" s="40" t="s">
        <v>134</v>
      </c>
      <c r="H41" s="40" t="s">
        <v>134</v>
      </c>
      <c r="I41" s="40" t="s">
        <v>134</v>
      </c>
      <c r="J41" s="40" t="s">
        <v>134</v>
      </c>
      <c r="K41" s="40" t="s">
        <v>134</v>
      </c>
      <c r="L41" s="40" t="s">
        <v>134</v>
      </c>
      <c r="M41" s="40" t="s">
        <v>134</v>
      </c>
      <c r="N41" s="40" t="s">
        <v>134</v>
      </c>
      <c r="O41" s="40" t="s">
        <v>134</v>
      </c>
    </row>
    <row r="42" customFormat="false" ht="15" hidden="false" customHeight="false" outlineLevel="0" collapsed="false">
      <c r="A42" s="32" t="s">
        <v>439</v>
      </c>
      <c r="B42" s="32" t="s">
        <v>173</v>
      </c>
      <c r="C42" s="32" t="s">
        <v>440</v>
      </c>
      <c r="D42" s="39"/>
      <c r="E42" s="40" t="s">
        <v>134</v>
      </c>
      <c r="F42" s="40" t="s">
        <v>134</v>
      </c>
      <c r="G42" s="40" t="s">
        <v>134</v>
      </c>
      <c r="H42" s="40" t="s">
        <v>134</v>
      </c>
      <c r="I42" s="40" t="s">
        <v>134</v>
      </c>
      <c r="J42" s="40" t="s">
        <v>134</v>
      </c>
      <c r="K42" s="40" t="s">
        <v>134</v>
      </c>
      <c r="L42" s="40" t="s">
        <v>134</v>
      </c>
      <c r="M42" s="40" t="s">
        <v>134</v>
      </c>
      <c r="N42" s="40" t="s">
        <v>134</v>
      </c>
      <c r="O42" s="40" t="s">
        <v>134</v>
      </c>
    </row>
    <row r="43" customFormat="false" ht="15" hidden="false" customHeight="false" outlineLevel="0" collapsed="false">
      <c r="A43" s="32" t="s">
        <v>446</v>
      </c>
      <c r="B43" s="32" t="s">
        <v>173</v>
      </c>
      <c r="C43" s="32" t="s">
        <v>447</v>
      </c>
      <c r="D43" s="39"/>
      <c r="E43" s="40" t="s">
        <v>134</v>
      </c>
      <c r="F43" s="40" t="s">
        <v>134</v>
      </c>
      <c r="G43" s="40" t="s">
        <v>134</v>
      </c>
      <c r="H43" s="40" t="s">
        <v>134</v>
      </c>
      <c r="I43" s="40" t="s">
        <v>134</v>
      </c>
      <c r="J43" s="40" t="s">
        <v>134</v>
      </c>
      <c r="K43" s="40" t="s">
        <v>134</v>
      </c>
      <c r="L43" s="40" t="s">
        <v>134</v>
      </c>
      <c r="M43" s="40" t="s">
        <v>134</v>
      </c>
      <c r="N43" s="40" t="s">
        <v>134</v>
      </c>
      <c r="O43" s="40" t="s">
        <v>134</v>
      </c>
    </row>
    <row r="44" customFormat="false" ht="15" hidden="false" customHeight="false" outlineLevel="0" collapsed="false">
      <c r="A44" s="32" t="s">
        <v>451</v>
      </c>
      <c r="B44" s="32" t="s">
        <v>174</v>
      </c>
      <c r="C44" s="32" t="s">
        <v>452</v>
      </c>
      <c r="D44" s="39"/>
      <c r="E44" s="40" t="s">
        <v>134</v>
      </c>
      <c r="F44" s="40" t="s">
        <v>134</v>
      </c>
      <c r="G44" s="40" t="s">
        <v>134</v>
      </c>
      <c r="H44" s="40" t="s">
        <v>134</v>
      </c>
      <c r="I44" s="40" t="s">
        <v>134</v>
      </c>
      <c r="J44" s="40" t="s">
        <v>134</v>
      </c>
      <c r="K44" s="40" t="s">
        <v>134</v>
      </c>
      <c r="L44" s="40" t="s">
        <v>134</v>
      </c>
      <c r="M44" s="40" t="s">
        <v>134</v>
      </c>
      <c r="N44" s="40" t="s">
        <v>134</v>
      </c>
      <c r="O44" s="40" t="s">
        <v>134</v>
      </c>
    </row>
    <row r="45" customFormat="false" ht="15" hidden="false" customHeight="false" outlineLevel="0" collapsed="false">
      <c r="A45" s="32" t="s">
        <v>458</v>
      </c>
      <c r="B45" s="32" t="s">
        <v>174</v>
      </c>
      <c r="C45" s="32" t="s">
        <v>459</v>
      </c>
      <c r="D45" s="39"/>
      <c r="E45" s="40" t="s">
        <v>134</v>
      </c>
      <c r="F45" s="40" t="s">
        <v>134</v>
      </c>
      <c r="G45" s="40" t="s">
        <v>134</v>
      </c>
      <c r="H45" s="40" t="s">
        <v>134</v>
      </c>
      <c r="I45" s="40" t="s">
        <v>134</v>
      </c>
      <c r="J45" s="40" t="s">
        <v>134</v>
      </c>
      <c r="K45" s="40" t="s">
        <v>134</v>
      </c>
      <c r="L45" s="40" t="s">
        <v>134</v>
      </c>
      <c r="M45" s="40" t="s">
        <v>134</v>
      </c>
      <c r="N45" s="40" t="s">
        <v>134</v>
      </c>
      <c r="O45" s="40" t="s">
        <v>134</v>
      </c>
    </row>
    <row r="46" customFormat="false" ht="15" hidden="false" customHeight="false" outlineLevel="0" collapsed="false">
      <c r="A46" s="32" t="s">
        <v>463</v>
      </c>
      <c r="B46" s="32" t="s">
        <v>174</v>
      </c>
      <c r="C46" s="32" t="s">
        <v>464</v>
      </c>
      <c r="D46" s="39"/>
      <c r="E46" s="40" t="s">
        <v>133</v>
      </c>
      <c r="F46" s="40" t="s">
        <v>133</v>
      </c>
      <c r="G46" s="40" t="s">
        <v>133</v>
      </c>
      <c r="H46" s="40" t="s">
        <v>133</v>
      </c>
      <c r="I46" s="40" t="s">
        <v>133</v>
      </c>
      <c r="J46" s="40" t="s">
        <v>133</v>
      </c>
      <c r="K46" s="40" t="s">
        <v>134</v>
      </c>
      <c r="L46" s="40" t="s">
        <v>133</v>
      </c>
      <c r="M46" s="40" t="s">
        <v>133</v>
      </c>
      <c r="N46" s="40" t="s">
        <v>133</v>
      </c>
      <c r="O46" s="40" t="s">
        <v>133</v>
      </c>
    </row>
    <row r="47" customFormat="false" ht="15" hidden="false" customHeight="false" outlineLevel="0" collapsed="false">
      <c r="A47" s="32" t="s">
        <v>469</v>
      </c>
      <c r="B47" s="32" t="s">
        <v>174</v>
      </c>
      <c r="C47" s="32" t="s">
        <v>470</v>
      </c>
      <c r="D47" s="39"/>
      <c r="E47" s="40" t="s">
        <v>134</v>
      </c>
      <c r="F47" s="40" t="s">
        <v>134</v>
      </c>
      <c r="G47" s="40" t="s">
        <v>134</v>
      </c>
      <c r="H47" s="40" t="s">
        <v>134</v>
      </c>
      <c r="I47" s="40" t="s">
        <v>134</v>
      </c>
      <c r="J47" s="40" t="s">
        <v>134</v>
      </c>
      <c r="K47" s="40" t="s">
        <v>134</v>
      </c>
      <c r="L47" s="40" t="s">
        <v>134</v>
      </c>
      <c r="M47" s="40" t="s">
        <v>134</v>
      </c>
      <c r="N47" s="40" t="s">
        <v>134</v>
      </c>
      <c r="O47" s="40" t="s">
        <v>134</v>
      </c>
    </row>
    <row r="48" customFormat="false" ht="15" hidden="false" customHeight="false" outlineLevel="0" collapsed="false">
      <c r="A48" s="32" t="s">
        <v>476</v>
      </c>
      <c r="B48" s="32" t="s">
        <v>174</v>
      </c>
      <c r="C48" s="32" t="s">
        <v>477</v>
      </c>
      <c r="D48" s="39"/>
      <c r="E48" s="40" t="s">
        <v>134</v>
      </c>
      <c r="F48" s="40" t="s">
        <v>134</v>
      </c>
      <c r="G48" s="40" t="s">
        <v>134</v>
      </c>
      <c r="H48" s="40" t="s">
        <v>134</v>
      </c>
      <c r="I48" s="40" t="s">
        <v>134</v>
      </c>
      <c r="J48" s="40" t="s">
        <v>134</v>
      </c>
      <c r="K48" s="40" t="s">
        <v>134</v>
      </c>
      <c r="L48" s="40" t="s">
        <v>134</v>
      </c>
      <c r="M48" s="40" t="s">
        <v>134</v>
      </c>
      <c r="N48" s="40" t="s">
        <v>134</v>
      </c>
      <c r="O48" s="40" t="s">
        <v>134</v>
      </c>
    </row>
    <row r="49" customFormat="false" ht="15" hidden="false" customHeight="false" outlineLevel="0" collapsed="false">
      <c r="A49" s="32" t="s">
        <v>483</v>
      </c>
      <c r="B49" s="32" t="s">
        <v>174</v>
      </c>
      <c r="C49" s="32" t="s">
        <v>484</v>
      </c>
      <c r="D49" s="39"/>
      <c r="E49" s="40" t="s">
        <v>134</v>
      </c>
      <c r="F49" s="40" t="s">
        <v>134</v>
      </c>
      <c r="G49" s="40" t="s">
        <v>134</v>
      </c>
      <c r="H49" s="40" t="s">
        <v>134</v>
      </c>
      <c r="I49" s="40" t="s">
        <v>134</v>
      </c>
      <c r="J49" s="40" t="s">
        <v>134</v>
      </c>
      <c r="K49" s="40" t="s">
        <v>134</v>
      </c>
      <c r="L49" s="40" t="s">
        <v>134</v>
      </c>
      <c r="M49" s="40" t="s">
        <v>134</v>
      </c>
      <c r="N49" s="40" t="s">
        <v>134</v>
      </c>
      <c r="O49" s="40" t="s">
        <v>134</v>
      </c>
    </row>
    <row r="50" customFormat="false" ht="15" hidden="false" customHeight="false" outlineLevel="0" collapsed="false">
      <c r="A50" s="32" t="s">
        <v>491</v>
      </c>
      <c r="B50" s="32" t="s">
        <v>174</v>
      </c>
      <c r="C50" s="32" t="s">
        <v>492</v>
      </c>
      <c r="D50" s="39" t="s">
        <v>128</v>
      </c>
      <c r="E50" s="40" t="s">
        <v>134</v>
      </c>
      <c r="F50" s="40" t="s">
        <v>134</v>
      </c>
      <c r="G50" s="40" t="s">
        <v>134</v>
      </c>
      <c r="H50" s="40" t="s">
        <v>134</v>
      </c>
      <c r="I50" s="40" t="s">
        <v>134</v>
      </c>
      <c r="J50" s="40" t="s">
        <v>134</v>
      </c>
      <c r="K50" s="40" t="s">
        <v>134</v>
      </c>
      <c r="L50" s="40" t="s">
        <v>134</v>
      </c>
      <c r="M50" s="40" t="s">
        <v>134</v>
      </c>
      <c r="N50" s="40" t="s">
        <v>134</v>
      </c>
      <c r="O50" s="40" t="s">
        <v>134</v>
      </c>
    </row>
    <row r="51" customFormat="false" ht="15" hidden="false" customHeight="false" outlineLevel="0" collapsed="false">
      <c r="A51" s="32" t="s">
        <v>498</v>
      </c>
      <c r="B51" s="32" t="s">
        <v>175</v>
      </c>
      <c r="C51" s="32" t="s">
        <v>499</v>
      </c>
      <c r="D51" s="39"/>
      <c r="E51" s="40" t="s">
        <v>134</v>
      </c>
      <c r="F51" s="40" t="s">
        <v>134</v>
      </c>
      <c r="G51" s="40" t="s">
        <v>134</v>
      </c>
      <c r="H51" s="40" t="s">
        <v>134</v>
      </c>
      <c r="I51" s="40" t="s">
        <v>134</v>
      </c>
      <c r="J51" s="40" t="s">
        <v>134</v>
      </c>
      <c r="K51" s="40" t="s">
        <v>134</v>
      </c>
      <c r="L51" s="40" t="s">
        <v>134</v>
      </c>
      <c r="M51" s="40" t="s">
        <v>134</v>
      </c>
      <c r="N51" s="40" t="s">
        <v>134</v>
      </c>
      <c r="O51" s="40" t="s">
        <v>134</v>
      </c>
    </row>
    <row r="52" customFormat="false" ht="15" hidden="false" customHeight="false" outlineLevel="0" collapsed="false">
      <c r="A52" s="32" t="s">
        <v>506</v>
      </c>
      <c r="B52" s="32" t="s">
        <v>175</v>
      </c>
      <c r="C52" s="32" t="s">
        <v>507</v>
      </c>
      <c r="D52" s="39"/>
      <c r="E52" s="40" t="s">
        <v>134</v>
      </c>
      <c r="F52" s="40" t="s">
        <v>134</v>
      </c>
      <c r="G52" s="40" t="s">
        <v>134</v>
      </c>
      <c r="H52" s="40" t="s">
        <v>134</v>
      </c>
      <c r="I52" s="40" t="s">
        <v>134</v>
      </c>
      <c r="J52" s="40" t="s">
        <v>134</v>
      </c>
      <c r="K52" s="40" t="s">
        <v>134</v>
      </c>
      <c r="L52" s="40" t="s">
        <v>134</v>
      </c>
      <c r="M52" s="40" t="s">
        <v>134</v>
      </c>
      <c r="N52" s="40" t="s">
        <v>134</v>
      </c>
      <c r="O52" s="40" t="s">
        <v>134</v>
      </c>
    </row>
    <row r="53" customFormat="false" ht="15" hidden="false" customHeight="false" outlineLevel="0" collapsed="false">
      <c r="A53" s="32" t="s">
        <v>514</v>
      </c>
      <c r="B53" s="32" t="s">
        <v>175</v>
      </c>
      <c r="C53" s="32" t="s">
        <v>515</v>
      </c>
      <c r="D53" s="39" t="s">
        <v>127</v>
      </c>
      <c r="E53" s="40" t="s">
        <v>134</v>
      </c>
      <c r="F53" s="40" t="s">
        <v>134</v>
      </c>
      <c r="G53" s="40" t="s">
        <v>134</v>
      </c>
      <c r="H53" s="40" t="s">
        <v>134</v>
      </c>
      <c r="I53" s="40" t="s">
        <v>134</v>
      </c>
      <c r="J53" s="40" t="s">
        <v>134</v>
      </c>
      <c r="K53" s="40" t="s">
        <v>134</v>
      </c>
      <c r="L53" s="40" t="s">
        <v>134</v>
      </c>
      <c r="M53" s="40" t="s">
        <v>134</v>
      </c>
      <c r="N53" s="40" t="s">
        <v>134</v>
      </c>
      <c r="O53" s="40" t="s">
        <v>134</v>
      </c>
    </row>
    <row r="54" customFormat="false" ht="15" hidden="false" customHeight="false" outlineLevel="0" collapsed="false">
      <c r="A54" s="32" t="s">
        <v>521</v>
      </c>
      <c r="B54" s="32" t="s">
        <v>175</v>
      </c>
      <c r="C54" s="32" t="s">
        <v>522</v>
      </c>
      <c r="D54" s="39" t="s">
        <v>127</v>
      </c>
      <c r="E54" s="40" t="s">
        <v>134</v>
      </c>
      <c r="F54" s="40" t="s">
        <v>134</v>
      </c>
      <c r="G54" s="40" t="s">
        <v>134</v>
      </c>
      <c r="H54" s="40" t="s">
        <v>134</v>
      </c>
      <c r="I54" s="40" t="s">
        <v>134</v>
      </c>
      <c r="J54" s="40" t="s">
        <v>134</v>
      </c>
      <c r="K54" s="40" t="s">
        <v>134</v>
      </c>
      <c r="L54" s="40" t="s">
        <v>134</v>
      </c>
      <c r="M54" s="40" t="s">
        <v>134</v>
      </c>
      <c r="N54" s="40" t="s">
        <v>134</v>
      </c>
      <c r="O54" s="40" t="s">
        <v>134</v>
      </c>
    </row>
    <row r="55" customFormat="false" ht="15" hidden="false" customHeight="false" outlineLevel="0" collapsed="false">
      <c r="A55" s="32" t="s">
        <v>528</v>
      </c>
      <c r="B55" s="32" t="s">
        <v>175</v>
      </c>
      <c r="C55" s="32" t="s">
        <v>529</v>
      </c>
      <c r="D55" s="39"/>
      <c r="E55" s="40" t="s">
        <v>134</v>
      </c>
      <c r="F55" s="40" t="s">
        <v>134</v>
      </c>
      <c r="G55" s="40" t="s">
        <v>134</v>
      </c>
      <c r="H55" s="40" t="s">
        <v>134</v>
      </c>
      <c r="I55" s="40" t="s">
        <v>134</v>
      </c>
      <c r="J55" s="40" t="s">
        <v>134</v>
      </c>
      <c r="K55" s="40" t="s">
        <v>134</v>
      </c>
      <c r="L55" s="40" t="s">
        <v>134</v>
      </c>
      <c r="M55" s="40" t="s">
        <v>134</v>
      </c>
      <c r="N55" s="40" t="s">
        <v>134</v>
      </c>
      <c r="O55" s="40" t="s">
        <v>134</v>
      </c>
    </row>
    <row r="56" customFormat="false" ht="15" hidden="false" customHeight="false" outlineLevel="0" collapsed="false">
      <c r="A56" s="32" t="s">
        <v>535</v>
      </c>
      <c r="B56" s="32" t="s">
        <v>175</v>
      </c>
      <c r="C56" s="32" t="s">
        <v>536</v>
      </c>
      <c r="D56" s="39"/>
      <c r="E56" s="40" t="s">
        <v>134</v>
      </c>
      <c r="F56" s="40" t="s">
        <v>134</v>
      </c>
      <c r="G56" s="40" t="s">
        <v>134</v>
      </c>
      <c r="H56" s="40" t="s">
        <v>134</v>
      </c>
      <c r="I56" s="40" t="s">
        <v>134</v>
      </c>
      <c r="J56" s="40" t="s">
        <v>134</v>
      </c>
      <c r="K56" s="40" t="s">
        <v>134</v>
      </c>
      <c r="L56" s="40" t="s">
        <v>134</v>
      </c>
      <c r="M56" s="40" t="s">
        <v>134</v>
      </c>
      <c r="N56" s="40" t="s">
        <v>134</v>
      </c>
      <c r="O56" s="40" t="s">
        <v>134</v>
      </c>
    </row>
    <row r="57" customFormat="false" ht="15" hidden="false" customHeight="false" outlineLevel="0" collapsed="false">
      <c r="A57" s="32" t="s">
        <v>543</v>
      </c>
      <c r="B57" s="32" t="s">
        <v>175</v>
      </c>
      <c r="C57" s="32" t="s">
        <v>544</v>
      </c>
      <c r="D57" s="39"/>
      <c r="E57" s="40" t="s">
        <v>134</v>
      </c>
      <c r="F57" s="40" t="s">
        <v>134</v>
      </c>
      <c r="G57" s="40" t="s">
        <v>134</v>
      </c>
      <c r="H57" s="40" t="s">
        <v>134</v>
      </c>
      <c r="I57" s="40" t="s">
        <v>134</v>
      </c>
      <c r="J57" s="40" t="s">
        <v>134</v>
      </c>
      <c r="K57" s="40" t="s">
        <v>134</v>
      </c>
      <c r="L57" s="40" t="s">
        <v>134</v>
      </c>
      <c r="M57" s="40" t="s">
        <v>134</v>
      </c>
      <c r="N57" s="40" t="s">
        <v>134</v>
      </c>
      <c r="O57" s="40" t="s">
        <v>134</v>
      </c>
    </row>
    <row r="58" customFormat="false" ht="15" hidden="false" customHeight="false" outlineLevel="0" collapsed="false">
      <c r="A58" s="32" t="s">
        <v>549</v>
      </c>
      <c r="B58" s="32" t="s">
        <v>175</v>
      </c>
      <c r="C58" s="32" t="s">
        <v>550</v>
      </c>
      <c r="D58" s="39"/>
      <c r="E58" s="40" t="s">
        <v>134</v>
      </c>
      <c r="F58" s="40" t="s">
        <v>134</v>
      </c>
      <c r="G58" s="40" t="s">
        <v>134</v>
      </c>
      <c r="H58" s="40" t="s">
        <v>134</v>
      </c>
      <c r="I58" s="40" t="s">
        <v>134</v>
      </c>
      <c r="J58" s="40" t="s">
        <v>134</v>
      </c>
      <c r="K58" s="40" t="s">
        <v>134</v>
      </c>
      <c r="L58" s="40" t="s">
        <v>134</v>
      </c>
      <c r="M58" s="40" t="s">
        <v>134</v>
      </c>
      <c r="N58" s="40" t="s">
        <v>134</v>
      </c>
      <c r="O58" s="40" t="s">
        <v>134</v>
      </c>
    </row>
    <row r="59" customFormat="false" ht="15" hidden="false" customHeight="false" outlineLevel="0" collapsed="false">
      <c r="A59" s="32" t="s">
        <v>557</v>
      </c>
      <c r="B59" s="32" t="s">
        <v>175</v>
      </c>
      <c r="C59" s="32" t="s">
        <v>558</v>
      </c>
      <c r="D59" s="39"/>
      <c r="E59" s="40" t="s">
        <v>134</v>
      </c>
      <c r="F59" s="40" t="s">
        <v>134</v>
      </c>
      <c r="G59" s="40" t="s">
        <v>134</v>
      </c>
      <c r="H59" s="40" t="s">
        <v>134</v>
      </c>
      <c r="I59" s="40" t="s">
        <v>134</v>
      </c>
      <c r="J59" s="40" t="s">
        <v>134</v>
      </c>
      <c r="K59" s="40" t="s">
        <v>134</v>
      </c>
      <c r="L59" s="40" t="s">
        <v>134</v>
      </c>
      <c r="M59" s="40" t="s">
        <v>134</v>
      </c>
      <c r="N59" s="40" t="s">
        <v>134</v>
      </c>
      <c r="O59" s="40" t="s">
        <v>134</v>
      </c>
    </row>
    <row r="60" customFormat="false" ht="15" hidden="false" customHeight="false" outlineLevel="0" collapsed="false">
      <c r="A60" s="32" t="s">
        <v>563</v>
      </c>
      <c r="B60" s="32" t="s">
        <v>175</v>
      </c>
      <c r="C60" s="32" t="s">
        <v>564</v>
      </c>
      <c r="D60" s="39"/>
      <c r="E60" s="40" t="s">
        <v>134</v>
      </c>
      <c r="F60" s="40" t="s">
        <v>134</v>
      </c>
      <c r="G60" s="40" t="s">
        <v>134</v>
      </c>
      <c r="H60" s="40" t="s">
        <v>134</v>
      </c>
      <c r="I60" s="40" t="s">
        <v>134</v>
      </c>
      <c r="J60" s="40" t="s">
        <v>134</v>
      </c>
      <c r="K60" s="40" t="s">
        <v>134</v>
      </c>
      <c r="L60" s="40" t="s">
        <v>134</v>
      </c>
      <c r="M60" s="40" t="s">
        <v>134</v>
      </c>
      <c r="N60" s="40" t="s">
        <v>134</v>
      </c>
      <c r="O60" s="40" t="s">
        <v>134</v>
      </c>
    </row>
    <row r="61" customFormat="false" ht="15" hidden="false" customHeight="false" outlineLevel="0" collapsed="false">
      <c r="A61" s="32" t="s">
        <v>569</v>
      </c>
      <c r="B61" s="32" t="s">
        <v>175</v>
      </c>
      <c r="C61" s="32" t="s">
        <v>570</v>
      </c>
      <c r="D61" s="39"/>
      <c r="E61" s="40" t="s">
        <v>134</v>
      </c>
      <c r="F61" s="40" t="s">
        <v>134</v>
      </c>
      <c r="G61" s="40" t="s">
        <v>134</v>
      </c>
      <c r="H61" s="40" t="s">
        <v>134</v>
      </c>
      <c r="I61" s="40" t="s">
        <v>134</v>
      </c>
      <c r="J61" s="40" t="s">
        <v>134</v>
      </c>
      <c r="K61" s="40" t="s">
        <v>134</v>
      </c>
      <c r="L61" s="40" t="s">
        <v>134</v>
      </c>
      <c r="M61" s="40" t="s">
        <v>134</v>
      </c>
      <c r="N61" s="40" t="s">
        <v>134</v>
      </c>
      <c r="O61" s="40" t="s">
        <v>134</v>
      </c>
    </row>
    <row r="62" customFormat="false" ht="15" hidden="false" customHeight="false" outlineLevel="0" collapsed="false">
      <c r="A62" s="32" t="s">
        <v>576</v>
      </c>
      <c r="B62" s="32" t="s">
        <v>175</v>
      </c>
      <c r="C62" s="32" t="s">
        <v>577</v>
      </c>
      <c r="D62" s="39"/>
      <c r="E62" s="40" t="s">
        <v>134</v>
      </c>
      <c r="F62" s="40" t="s">
        <v>134</v>
      </c>
      <c r="G62" s="40" t="s">
        <v>134</v>
      </c>
      <c r="H62" s="40" t="s">
        <v>134</v>
      </c>
      <c r="I62" s="40" t="s">
        <v>134</v>
      </c>
      <c r="J62" s="40" t="s">
        <v>134</v>
      </c>
      <c r="K62" s="40" t="s">
        <v>134</v>
      </c>
      <c r="L62" s="40" t="s">
        <v>134</v>
      </c>
      <c r="M62" s="40" t="s">
        <v>134</v>
      </c>
      <c r="N62" s="40" t="s">
        <v>134</v>
      </c>
      <c r="O62" s="40" t="s">
        <v>134</v>
      </c>
    </row>
    <row r="63" customFormat="false" ht="15" hidden="false" customHeight="false" outlineLevel="0" collapsed="false">
      <c r="A63" s="32" t="s">
        <v>583</v>
      </c>
      <c r="B63" s="32" t="s">
        <v>175</v>
      </c>
      <c r="C63" s="32" t="s">
        <v>584</v>
      </c>
      <c r="D63" s="39" t="s">
        <v>124</v>
      </c>
      <c r="E63" s="40" t="s">
        <v>134</v>
      </c>
      <c r="F63" s="40" t="s">
        <v>134</v>
      </c>
      <c r="G63" s="40" t="s">
        <v>134</v>
      </c>
      <c r="H63" s="40" t="s">
        <v>134</v>
      </c>
      <c r="I63" s="40" t="s">
        <v>134</v>
      </c>
      <c r="J63" s="40" t="s">
        <v>134</v>
      </c>
      <c r="K63" s="40" t="s">
        <v>134</v>
      </c>
      <c r="L63" s="40" t="s">
        <v>134</v>
      </c>
      <c r="M63" s="40" t="s">
        <v>134</v>
      </c>
      <c r="N63" s="40" t="s">
        <v>134</v>
      </c>
      <c r="O63" s="40" t="s">
        <v>134</v>
      </c>
    </row>
    <row r="64" customFormat="false" ht="15" hidden="false" customHeight="false" outlineLevel="0" collapsed="false">
      <c r="A64" s="32" t="s">
        <v>589</v>
      </c>
      <c r="B64" s="32" t="s">
        <v>175</v>
      </c>
      <c r="C64" s="32" t="s">
        <v>590</v>
      </c>
      <c r="D64" s="39"/>
      <c r="E64" s="40" t="s">
        <v>134</v>
      </c>
      <c r="F64" s="40" t="s">
        <v>134</v>
      </c>
      <c r="G64" s="40" t="s">
        <v>134</v>
      </c>
      <c r="H64" s="40" t="s">
        <v>134</v>
      </c>
      <c r="I64" s="40" t="s">
        <v>134</v>
      </c>
      <c r="J64" s="40" t="s">
        <v>134</v>
      </c>
      <c r="K64" s="40" t="s">
        <v>134</v>
      </c>
      <c r="L64" s="40" t="s">
        <v>134</v>
      </c>
      <c r="M64" s="40" t="s">
        <v>134</v>
      </c>
      <c r="N64" s="40" t="s">
        <v>134</v>
      </c>
      <c r="O64" s="40" t="s">
        <v>134</v>
      </c>
    </row>
    <row r="65" customFormat="false" ht="15" hidden="false" customHeight="false" outlineLevel="0" collapsed="false">
      <c r="A65" s="32" t="s">
        <v>596</v>
      </c>
      <c r="B65" s="32" t="s">
        <v>175</v>
      </c>
      <c r="C65" s="32" t="s">
        <v>597</v>
      </c>
      <c r="D65" s="39"/>
      <c r="E65" s="40" t="s">
        <v>134</v>
      </c>
      <c r="F65" s="40" t="s">
        <v>134</v>
      </c>
      <c r="G65" s="40" t="s">
        <v>134</v>
      </c>
      <c r="H65" s="40" t="s">
        <v>134</v>
      </c>
      <c r="I65" s="40" t="s">
        <v>134</v>
      </c>
      <c r="J65" s="40" t="s">
        <v>134</v>
      </c>
      <c r="K65" s="40" t="s">
        <v>134</v>
      </c>
      <c r="L65" s="40" t="s">
        <v>134</v>
      </c>
      <c r="M65" s="40" t="s">
        <v>134</v>
      </c>
      <c r="N65" s="40" t="s">
        <v>134</v>
      </c>
      <c r="O65" s="40" t="s">
        <v>134</v>
      </c>
    </row>
    <row r="66" customFormat="false" ht="15" hidden="false" customHeight="false" outlineLevel="0" collapsed="false">
      <c r="A66" s="32" t="s">
        <v>602</v>
      </c>
      <c r="B66" s="32" t="s">
        <v>176</v>
      </c>
      <c r="C66" s="32" t="s">
        <v>603</v>
      </c>
      <c r="D66" s="39"/>
      <c r="E66" s="40" t="s">
        <v>134</v>
      </c>
      <c r="F66" s="40" t="s">
        <v>134</v>
      </c>
      <c r="G66" s="40" t="s">
        <v>134</v>
      </c>
      <c r="H66" s="40" t="s">
        <v>134</v>
      </c>
      <c r="I66" s="40" t="s">
        <v>134</v>
      </c>
      <c r="J66" s="40" t="s">
        <v>134</v>
      </c>
      <c r="K66" s="40" t="s">
        <v>134</v>
      </c>
      <c r="L66" s="40" t="s">
        <v>134</v>
      </c>
      <c r="M66" s="40" t="s">
        <v>134</v>
      </c>
      <c r="N66" s="40" t="s">
        <v>134</v>
      </c>
      <c r="O66" s="40" t="s">
        <v>134</v>
      </c>
    </row>
    <row r="67" customFormat="false" ht="15" hidden="false" customHeight="false" outlineLevel="0" collapsed="false">
      <c r="A67" s="32" t="s">
        <v>609</v>
      </c>
      <c r="B67" s="32" t="s">
        <v>176</v>
      </c>
      <c r="C67" s="32" t="s">
        <v>610</v>
      </c>
      <c r="D67" s="39"/>
      <c r="E67" s="40" t="s">
        <v>134</v>
      </c>
      <c r="F67" s="40" t="s">
        <v>134</v>
      </c>
      <c r="G67" s="40" t="s">
        <v>134</v>
      </c>
      <c r="H67" s="40" t="s">
        <v>134</v>
      </c>
      <c r="I67" s="40" t="s">
        <v>134</v>
      </c>
      <c r="J67" s="40" t="s">
        <v>134</v>
      </c>
      <c r="K67" s="40" t="s">
        <v>134</v>
      </c>
      <c r="L67" s="40" t="s">
        <v>134</v>
      </c>
      <c r="M67" s="40" t="s">
        <v>134</v>
      </c>
      <c r="N67" s="40" t="s">
        <v>134</v>
      </c>
      <c r="O67" s="40" t="s">
        <v>134</v>
      </c>
    </row>
    <row r="68" customFormat="false" ht="15" hidden="false" customHeight="false" outlineLevel="0" collapsed="false">
      <c r="A68" s="32" t="s">
        <v>615</v>
      </c>
      <c r="B68" s="32" t="s">
        <v>176</v>
      </c>
      <c r="C68" s="32" t="s">
        <v>616</v>
      </c>
      <c r="D68" s="39"/>
      <c r="E68" s="40" t="s">
        <v>134</v>
      </c>
      <c r="F68" s="40" t="s">
        <v>134</v>
      </c>
      <c r="G68" s="40" t="s">
        <v>134</v>
      </c>
      <c r="H68" s="40" t="s">
        <v>134</v>
      </c>
      <c r="I68" s="40" t="s">
        <v>134</v>
      </c>
      <c r="J68" s="40" t="s">
        <v>134</v>
      </c>
      <c r="K68" s="40" t="s">
        <v>134</v>
      </c>
      <c r="L68" s="40" t="s">
        <v>134</v>
      </c>
      <c r="M68" s="40" t="s">
        <v>134</v>
      </c>
      <c r="N68" s="40" t="s">
        <v>134</v>
      </c>
      <c r="O68" s="40" t="s">
        <v>134</v>
      </c>
    </row>
    <row r="69" customFormat="false" ht="15" hidden="false" customHeight="false" outlineLevel="0" collapsed="false">
      <c r="A69" s="32" t="s">
        <v>622</v>
      </c>
      <c r="B69" s="32" t="s">
        <v>176</v>
      </c>
      <c r="C69" s="32" t="s">
        <v>623</v>
      </c>
      <c r="D69" s="39"/>
      <c r="E69" s="40" t="s">
        <v>134</v>
      </c>
      <c r="F69" s="40" t="s">
        <v>134</v>
      </c>
      <c r="G69" s="40" t="s">
        <v>134</v>
      </c>
      <c r="H69" s="40" t="s">
        <v>134</v>
      </c>
      <c r="I69" s="40" t="s">
        <v>134</v>
      </c>
      <c r="J69" s="40" t="s">
        <v>134</v>
      </c>
      <c r="K69" s="40" t="s">
        <v>134</v>
      </c>
      <c r="L69" s="40" t="s">
        <v>134</v>
      </c>
      <c r="M69" s="40" t="s">
        <v>134</v>
      </c>
      <c r="N69" s="40" t="s">
        <v>134</v>
      </c>
      <c r="O69" s="40" t="s">
        <v>134</v>
      </c>
    </row>
    <row r="70" customFormat="false" ht="15" hidden="false" customHeight="false" outlineLevel="0" collapsed="false">
      <c r="A70" s="32" t="s">
        <v>629</v>
      </c>
      <c r="B70" s="32" t="s">
        <v>176</v>
      </c>
      <c r="C70" s="32" t="s">
        <v>630</v>
      </c>
      <c r="D70" s="39"/>
      <c r="E70" s="40" t="s">
        <v>134</v>
      </c>
      <c r="F70" s="40" t="s">
        <v>134</v>
      </c>
      <c r="G70" s="40" t="s">
        <v>134</v>
      </c>
      <c r="H70" s="40" t="s">
        <v>134</v>
      </c>
      <c r="I70" s="40" t="s">
        <v>134</v>
      </c>
      <c r="J70" s="40" t="s">
        <v>134</v>
      </c>
      <c r="K70" s="40" t="s">
        <v>134</v>
      </c>
      <c r="L70" s="40" t="s">
        <v>134</v>
      </c>
      <c r="M70" s="40" t="s">
        <v>134</v>
      </c>
      <c r="N70" s="40" t="s">
        <v>134</v>
      </c>
      <c r="O70" s="40" t="s">
        <v>134</v>
      </c>
    </row>
    <row r="71" customFormat="false" ht="15" hidden="false" customHeight="false" outlineLevel="0" collapsed="false">
      <c r="A71" s="32" t="s">
        <v>634</v>
      </c>
      <c r="B71" s="32" t="s">
        <v>176</v>
      </c>
      <c r="C71" s="32" t="s">
        <v>635</v>
      </c>
      <c r="D71" s="39"/>
      <c r="E71" s="40" t="s">
        <v>134</v>
      </c>
      <c r="F71" s="40" t="s">
        <v>134</v>
      </c>
      <c r="G71" s="40" t="s">
        <v>134</v>
      </c>
      <c r="H71" s="40" t="s">
        <v>134</v>
      </c>
      <c r="I71" s="40" t="s">
        <v>134</v>
      </c>
      <c r="J71" s="40" t="s">
        <v>134</v>
      </c>
      <c r="K71" s="40" t="s">
        <v>134</v>
      </c>
      <c r="L71" s="40" t="s">
        <v>134</v>
      </c>
      <c r="M71" s="40" t="s">
        <v>134</v>
      </c>
      <c r="N71" s="40" t="s">
        <v>134</v>
      </c>
      <c r="O71" s="40" t="s">
        <v>134</v>
      </c>
    </row>
    <row r="72" customFormat="false" ht="15" hidden="false" customHeight="false" outlineLevel="0" collapsed="false">
      <c r="A72" s="32" t="s">
        <v>640</v>
      </c>
      <c r="B72" s="32" t="s">
        <v>176</v>
      </c>
      <c r="C72" s="32" t="s">
        <v>641</v>
      </c>
      <c r="D72" s="39"/>
      <c r="E72" s="40" t="s">
        <v>134</v>
      </c>
      <c r="F72" s="40" t="s">
        <v>134</v>
      </c>
      <c r="G72" s="40" t="s">
        <v>134</v>
      </c>
      <c r="H72" s="40" t="s">
        <v>134</v>
      </c>
      <c r="I72" s="40" t="s">
        <v>134</v>
      </c>
      <c r="J72" s="40" t="s">
        <v>134</v>
      </c>
      <c r="K72" s="40" t="s">
        <v>134</v>
      </c>
      <c r="L72" s="40" t="s">
        <v>134</v>
      </c>
      <c r="M72" s="40" t="s">
        <v>134</v>
      </c>
      <c r="N72" s="40" t="s">
        <v>134</v>
      </c>
      <c r="O72" s="40" t="s">
        <v>134</v>
      </c>
    </row>
    <row r="73" customFormat="false" ht="15" hidden="false" customHeight="false" outlineLevel="0" collapsed="false">
      <c r="A73" s="32" t="s">
        <v>646</v>
      </c>
      <c r="B73" s="32" t="s">
        <v>176</v>
      </c>
      <c r="C73" s="32" t="s">
        <v>647</v>
      </c>
      <c r="D73" s="39"/>
      <c r="E73" s="40" t="s">
        <v>134</v>
      </c>
      <c r="F73" s="40" t="s">
        <v>134</v>
      </c>
      <c r="G73" s="40" t="s">
        <v>134</v>
      </c>
      <c r="H73" s="40" t="s">
        <v>134</v>
      </c>
      <c r="I73" s="40" t="s">
        <v>134</v>
      </c>
      <c r="J73" s="40" t="s">
        <v>134</v>
      </c>
      <c r="K73" s="40" t="s">
        <v>134</v>
      </c>
      <c r="L73" s="40" t="s">
        <v>134</v>
      </c>
      <c r="M73" s="40" t="s">
        <v>134</v>
      </c>
      <c r="N73" s="40" t="s">
        <v>134</v>
      </c>
      <c r="O73" s="40" t="s">
        <v>134</v>
      </c>
    </row>
    <row r="74" customFormat="false" ht="15" hidden="false" customHeight="false" outlineLevel="0" collapsed="false">
      <c r="A74" s="32" t="s">
        <v>652</v>
      </c>
      <c r="B74" s="32" t="s">
        <v>177</v>
      </c>
      <c r="C74" s="32" t="s">
        <v>653</v>
      </c>
      <c r="D74" s="39"/>
      <c r="E74" s="40" t="s">
        <v>134</v>
      </c>
      <c r="F74" s="40" t="s">
        <v>134</v>
      </c>
      <c r="G74" s="40" t="s">
        <v>134</v>
      </c>
      <c r="H74" s="40" t="s">
        <v>134</v>
      </c>
      <c r="I74" s="40" t="s">
        <v>134</v>
      </c>
      <c r="J74" s="40" t="s">
        <v>134</v>
      </c>
      <c r="K74" s="40" t="s">
        <v>134</v>
      </c>
      <c r="L74" s="40" t="s">
        <v>134</v>
      </c>
      <c r="M74" s="40" t="s">
        <v>134</v>
      </c>
      <c r="N74" s="40" t="s">
        <v>134</v>
      </c>
      <c r="O74" s="40" t="s">
        <v>134</v>
      </c>
    </row>
    <row r="75" customFormat="false" ht="15" hidden="false" customHeight="false" outlineLevel="0" collapsed="false">
      <c r="A75" s="32" t="s">
        <v>658</v>
      </c>
      <c r="B75" s="32" t="s">
        <v>177</v>
      </c>
      <c r="C75" s="32" t="s">
        <v>659</v>
      </c>
      <c r="D75" s="39"/>
      <c r="E75" s="40" t="s">
        <v>134</v>
      </c>
      <c r="F75" s="40" t="s">
        <v>134</v>
      </c>
      <c r="G75" s="40" t="s">
        <v>134</v>
      </c>
      <c r="H75" s="40" t="s">
        <v>134</v>
      </c>
      <c r="I75" s="40" t="s">
        <v>134</v>
      </c>
      <c r="J75" s="40" t="s">
        <v>134</v>
      </c>
      <c r="K75" s="40" t="s">
        <v>134</v>
      </c>
      <c r="L75" s="40" t="s">
        <v>134</v>
      </c>
      <c r="M75" s="40" t="s">
        <v>134</v>
      </c>
      <c r="N75" s="40" t="s">
        <v>134</v>
      </c>
      <c r="O75" s="40" t="s">
        <v>134</v>
      </c>
    </row>
    <row r="76" customFormat="false" ht="15" hidden="false" customHeight="false" outlineLevel="0" collapsed="false">
      <c r="A76" s="32" t="s">
        <v>663</v>
      </c>
      <c r="B76" s="32" t="s">
        <v>177</v>
      </c>
      <c r="C76" s="32" t="s">
        <v>664</v>
      </c>
      <c r="D76" s="39"/>
      <c r="E76" s="40" t="s">
        <v>134</v>
      </c>
      <c r="F76" s="40" t="s">
        <v>134</v>
      </c>
      <c r="G76" s="40" t="s">
        <v>134</v>
      </c>
      <c r="H76" s="40" t="s">
        <v>134</v>
      </c>
      <c r="I76" s="40" t="s">
        <v>134</v>
      </c>
      <c r="J76" s="40" t="s">
        <v>134</v>
      </c>
      <c r="K76" s="40" t="s">
        <v>134</v>
      </c>
      <c r="L76" s="40" t="s">
        <v>134</v>
      </c>
      <c r="M76" s="40" t="s">
        <v>134</v>
      </c>
      <c r="N76" s="40" t="s">
        <v>134</v>
      </c>
      <c r="O76" s="40" t="s">
        <v>134</v>
      </c>
    </row>
    <row r="77" customFormat="false" ht="15" hidden="false" customHeight="false" outlineLevel="0" collapsed="false">
      <c r="A77" s="32" t="s">
        <v>668</v>
      </c>
      <c r="B77" s="32" t="s">
        <v>177</v>
      </c>
      <c r="C77" s="32" t="s">
        <v>669</v>
      </c>
      <c r="D77" s="39"/>
      <c r="E77" s="40" t="s">
        <v>134</v>
      </c>
      <c r="F77" s="40" t="s">
        <v>134</v>
      </c>
      <c r="G77" s="40" t="s">
        <v>134</v>
      </c>
      <c r="H77" s="40" t="s">
        <v>134</v>
      </c>
      <c r="I77" s="40" t="s">
        <v>134</v>
      </c>
      <c r="J77" s="40" t="s">
        <v>134</v>
      </c>
      <c r="K77" s="40" t="s">
        <v>134</v>
      </c>
      <c r="L77" s="40" t="s">
        <v>134</v>
      </c>
      <c r="M77" s="40" t="s">
        <v>134</v>
      </c>
      <c r="N77" s="40" t="s">
        <v>134</v>
      </c>
      <c r="O77" s="40" t="s">
        <v>134</v>
      </c>
    </row>
    <row r="78" customFormat="false" ht="15" hidden="false" customHeight="false" outlineLevel="0" collapsed="false">
      <c r="A78" s="32" t="s">
        <v>674</v>
      </c>
      <c r="B78" s="32" t="s">
        <v>177</v>
      </c>
      <c r="C78" s="32" t="s">
        <v>675</v>
      </c>
      <c r="D78" s="39"/>
      <c r="E78" s="40" t="s">
        <v>134</v>
      </c>
      <c r="F78" s="40" t="s">
        <v>134</v>
      </c>
      <c r="G78" s="40" t="s">
        <v>134</v>
      </c>
      <c r="H78" s="40" t="s">
        <v>134</v>
      </c>
      <c r="I78" s="40" t="s">
        <v>134</v>
      </c>
      <c r="J78" s="40" t="s">
        <v>134</v>
      </c>
      <c r="K78" s="40" t="s">
        <v>134</v>
      </c>
      <c r="L78" s="40" t="s">
        <v>134</v>
      </c>
      <c r="M78" s="40" t="s">
        <v>134</v>
      </c>
      <c r="N78" s="40" t="s">
        <v>134</v>
      </c>
      <c r="O78" s="40" t="s">
        <v>134</v>
      </c>
    </row>
    <row r="79" customFormat="false" ht="15" hidden="false" customHeight="false" outlineLevel="0" collapsed="false">
      <c r="A79" s="32" t="s">
        <v>679</v>
      </c>
      <c r="B79" s="32" t="s">
        <v>177</v>
      </c>
      <c r="C79" s="32" t="s">
        <v>680</v>
      </c>
      <c r="D79" s="39"/>
      <c r="E79" s="40" t="s">
        <v>134</v>
      </c>
      <c r="F79" s="40" t="s">
        <v>134</v>
      </c>
      <c r="G79" s="40" t="s">
        <v>134</v>
      </c>
      <c r="H79" s="40" t="s">
        <v>134</v>
      </c>
      <c r="I79" s="40" t="s">
        <v>134</v>
      </c>
      <c r="J79" s="40" t="s">
        <v>134</v>
      </c>
      <c r="K79" s="40" t="s">
        <v>134</v>
      </c>
      <c r="L79" s="40" t="s">
        <v>134</v>
      </c>
      <c r="M79" s="40" t="s">
        <v>134</v>
      </c>
      <c r="N79" s="40" t="s">
        <v>134</v>
      </c>
      <c r="O79" s="40" t="s">
        <v>134</v>
      </c>
    </row>
    <row r="80" customFormat="false" ht="15" hidden="false" customHeight="false" outlineLevel="0" collapsed="false">
      <c r="A80" s="32" t="s">
        <v>685</v>
      </c>
      <c r="B80" s="32" t="s">
        <v>177</v>
      </c>
      <c r="C80" s="32" t="s">
        <v>686</v>
      </c>
      <c r="D80" s="39"/>
      <c r="E80" s="40" t="s">
        <v>134</v>
      </c>
      <c r="F80" s="40" t="s">
        <v>134</v>
      </c>
      <c r="G80" s="40" t="s">
        <v>134</v>
      </c>
      <c r="H80" s="40" t="s">
        <v>134</v>
      </c>
      <c r="I80" s="40" t="s">
        <v>134</v>
      </c>
      <c r="J80" s="40" t="s">
        <v>134</v>
      </c>
      <c r="K80" s="40" t="s">
        <v>134</v>
      </c>
      <c r="L80" s="40" t="s">
        <v>134</v>
      </c>
      <c r="M80" s="40" t="s">
        <v>134</v>
      </c>
      <c r="N80" s="40" t="s">
        <v>134</v>
      </c>
      <c r="O80" s="40" t="s">
        <v>134</v>
      </c>
    </row>
    <row r="81" customFormat="false" ht="15" hidden="false" customHeight="false" outlineLevel="0" collapsed="false">
      <c r="A81" s="32" t="s">
        <v>691</v>
      </c>
      <c r="B81" s="32" t="s">
        <v>177</v>
      </c>
      <c r="C81" s="32" t="s">
        <v>692</v>
      </c>
      <c r="D81" s="39"/>
      <c r="E81" s="40" t="s">
        <v>134</v>
      </c>
      <c r="F81" s="40" t="s">
        <v>134</v>
      </c>
      <c r="G81" s="40" t="s">
        <v>134</v>
      </c>
      <c r="H81" s="40" t="s">
        <v>134</v>
      </c>
      <c r="I81" s="40" t="s">
        <v>134</v>
      </c>
      <c r="J81" s="40" t="s">
        <v>134</v>
      </c>
      <c r="K81" s="40" t="s">
        <v>134</v>
      </c>
      <c r="L81" s="40" t="s">
        <v>134</v>
      </c>
      <c r="M81" s="40" t="s">
        <v>134</v>
      </c>
      <c r="N81" s="40" t="s">
        <v>134</v>
      </c>
      <c r="O81" s="40" t="s">
        <v>134</v>
      </c>
    </row>
    <row r="82" customFormat="false" ht="15" hidden="false" customHeight="false" outlineLevel="0" collapsed="false">
      <c r="A82" s="32" t="s">
        <v>696</v>
      </c>
      <c r="B82" s="32" t="s">
        <v>178</v>
      </c>
      <c r="C82" s="32" t="s">
        <v>697</v>
      </c>
      <c r="D82" s="39"/>
      <c r="E82" s="40" t="s">
        <v>134</v>
      </c>
      <c r="F82" s="40" t="s">
        <v>134</v>
      </c>
      <c r="G82" s="40" t="s">
        <v>134</v>
      </c>
      <c r="H82" s="40" t="s">
        <v>134</v>
      </c>
      <c r="I82" s="40" t="s">
        <v>134</v>
      </c>
      <c r="J82" s="40" t="s">
        <v>134</v>
      </c>
      <c r="K82" s="40" t="s">
        <v>134</v>
      </c>
      <c r="L82" s="40" t="s">
        <v>134</v>
      </c>
      <c r="M82" s="40" t="s">
        <v>134</v>
      </c>
      <c r="N82" s="40" t="s">
        <v>134</v>
      </c>
      <c r="O82" s="40" t="s">
        <v>134</v>
      </c>
    </row>
    <row r="83" customFormat="false" ht="15" hidden="false" customHeight="false" outlineLevel="0" collapsed="false">
      <c r="A83" s="32" t="s">
        <v>703</v>
      </c>
      <c r="B83" s="32" t="s">
        <v>178</v>
      </c>
      <c r="C83" s="32" t="s">
        <v>704</v>
      </c>
      <c r="D83" s="39"/>
      <c r="E83" s="40" t="s">
        <v>134</v>
      </c>
      <c r="F83" s="40" t="s">
        <v>134</v>
      </c>
      <c r="G83" s="40" t="s">
        <v>134</v>
      </c>
      <c r="H83" s="40" t="s">
        <v>134</v>
      </c>
      <c r="I83" s="40" t="s">
        <v>134</v>
      </c>
      <c r="J83" s="40" t="s">
        <v>134</v>
      </c>
      <c r="K83" s="40" t="s">
        <v>134</v>
      </c>
      <c r="L83" s="40" t="s">
        <v>134</v>
      </c>
      <c r="M83" s="40" t="s">
        <v>134</v>
      </c>
      <c r="N83" s="40" t="s">
        <v>134</v>
      </c>
      <c r="O83" s="40" t="s">
        <v>134</v>
      </c>
    </row>
    <row r="84" customFormat="false" ht="15" hidden="false" customHeight="false" outlineLevel="0" collapsed="false">
      <c r="A84" s="32" t="s">
        <v>708</v>
      </c>
      <c r="B84" s="32" t="s">
        <v>178</v>
      </c>
      <c r="C84" s="32" t="s">
        <v>709</v>
      </c>
      <c r="D84" s="39"/>
      <c r="E84" s="40" t="s">
        <v>134</v>
      </c>
      <c r="F84" s="40" t="s">
        <v>134</v>
      </c>
      <c r="G84" s="40" t="s">
        <v>134</v>
      </c>
      <c r="H84" s="40" t="s">
        <v>134</v>
      </c>
      <c r="I84" s="40" t="s">
        <v>134</v>
      </c>
      <c r="J84" s="40" t="s">
        <v>134</v>
      </c>
      <c r="K84" s="40" t="s">
        <v>134</v>
      </c>
      <c r="L84" s="40" t="s">
        <v>134</v>
      </c>
      <c r="M84" s="40" t="s">
        <v>134</v>
      </c>
      <c r="N84" s="40" t="s">
        <v>134</v>
      </c>
      <c r="O84" s="40" t="s">
        <v>134</v>
      </c>
    </row>
    <row r="85" customFormat="false" ht="15" hidden="false" customHeight="false" outlineLevel="0" collapsed="false">
      <c r="A85" s="32" t="s">
        <v>714</v>
      </c>
      <c r="B85" s="32" t="s">
        <v>178</v>
      </c>
      <c r="C85" s="32" t="s">
        <v>715</v>
      </c>
      <c r="D85" s="39"/>
      <c r="E85" s="40" t="s">
        <v>134</v>
      </c>
      <c r="F85" s="40" t="s">
        <v>134</v>
      </c>
      <c r="G85" s="40" t="s">
        <v>134</v>
      </c>
      <c r="H85" s="40" t="s">
        <v>134</v>
      </c>
      <c r="I85" s="40" t="s">
        <v>134</v>
      </c>
      <c r="J85" s="40" t="s">
        <v>134</v>
      </c>
      <c r="K85" s="40" t="s">
        <v>134</v>
      </c>
      <c r="L85" s="40" t="s">
        <v>134</v>
      </c>
      <c r="M85" s="40" t="s">
        <v>134</v>
      </c>
      <c r="N85" s="40" t="s">
        <v>134</v>
      </c>
      <c r="O85" s="40" t="s">
        <v>134</v>
      </c>
    </row>
    <row r="86" customFormat="false" ht="15" hidden="false" customHeight="false" outlineLevel="0" collapsed="false">
      <c r="A86" s="32" t="s">
        <v>721</v>
      </c>
      <c r="B86" s="32" t="s">
        <v>179</v>
      </c>
      <c r="C86" s="32" t="s">
        <v>722</v>
      </c>
      <c r="D86" s="39"/>
      <c r="E86" s="40" t="s">
        <v>134</v>
      </c>
      <c r="F86" s="40" t="s">
        <v>134</v>
      </c>
      <c r="G86" s="40" t="s">
        <v>134</v>
      </c>
      <c r="H86" s="40" t="s">
        <v>134</v>
      </c>
      <c r="I86" s="40" t="s">
        <v>134</v>
      </c>
      <c r="J86" s="40" t="s">
        <v>134</v>
      </c>
      <c r="K86" s="40" t="s">
        <v>134</v>
      </c>
      <c r="L86" s="40" t="s">
        <v>134</v>
      </c>
      <c r="M86" s="40" t="s">
        <v>134</v>
      </c>
      <c r="N86" s="40" t="s">
        <v>134</v>
      </c>
      <c r="O86" s="40" t="s">
        <v>134</v>
      </c>
    </row>
    <row r="87" customFormat="false" ht="15" hidden="false" customHeight="false" outlineLevel="0" collapsed="false">
      <c r="A87" s="32" t="s">
        <v>728</v>
      </c>
      <c r="B87" s="32" t="s">
        <v>179</v>
      </c>
      <c r="C87" s="32" t="s">
        <v>729</v>
      </c>
      <c r="D87" s="39"/>
      <c r="E87" s="40" t="s">
        <v>134</v>
      </c>
      <c r="F87" s="40" t="s">
        <v>134</v>
      </c>
      <c r="G87" s="40" t="s">
        <v>134</v>
      </c>
      <c r="H87" s="40" t="s">
        <v>134</v>
      </c>
      <c r="I87" s="40" t="s">
        <v>134</v>
      </c>
      <c r="J87" s="40" t="s">
        <v>134</v>
      </c>
      <c r="K87" s="40" t="s">
        <v>134</v>
      </c>
      <c r="L87" s="40" t="s">
        <v>134</v>
      </c>
      <c r="M87" s="40" t="s">
        <v>134</v>
      </c>
      <c r="N87" s="40" t="s">
        <v>134</v>
      </c>
      <c r="O87" s="40" t="s">
        <v>134</v>
      </c>
    </row>
    <row r="88" customFormat="false" ht="15" hidden="false" customHeight="false" outlineLevel="0" collapsed="false">
      <c r="A88" s="32" t="s">
        <v>736</v>
      </c>
      <c r="B88" s="32" t="s">
        <v>179</v>
      </c>
      <c r="C88" s="32" t="s">
        <v>737</v>
      </c>
      <c r="D88" s="39"/>
      <c r="E88" s="40" t="s">
        <v>134</v>
      </c>
      <c r="F88" s="40" t="s">
        <v>134</v>
      </c>
      <c r="G88" s="40" t="s">
        <v>134</v>
      </c>
      <c r="H88" s="40" t="s">
        <v>134</v>
      </c>
      <c r="I88" s="40" t="s">
        <v>134</v>
      </c>
      <c r="J88" s="40" t="s">
        <v>134</v>
      </c>
      <c r="K88" s="40" t="s">
        <v>134</v>
      </c>
      <c r="L88" s="40" t="s">
        <v>134</v>
      </c>
      <c r="M88" s="40" t="s">
        <v>134</v>
      </c>
      <c r="N88" s="40" t="s">
        <v>134</v>
      </c>
      <c r="O88" s="40" t="s">
        <v>134</v>
      </c>
    </row>
    <row r="89" customFormat="false" ht="15" hidden="false" customHeight="false" outlineLevel="0" collapsed="false">
      <c r="A89" s="32" t="s">
        <v>744</v>
      </c>
      <c r="B89" s="32" t="s">
        <v>179</v>
      </c>
      <c r="C89" s="32" t="s">
        <v>42</v>
      </c>
      <c r="D89" s="39"/>
      <c r="E89" s="40" t="s">
        <v>134</v>
      </c>
      <c r="F89" s="40" t="s">
        <v>134</v>
      </c>
      <c r="G89" s="40" t="s">
        <v>134</v>
      </c>
      <c r="H89" s="40" t="s">
        <v>134</v>
      </c>
      <c r="I89" s="40" t="s">
        <v>134</v>
      </c>
      <c r="J89" s="40" t="s">
        <v>134</v>
      </c>
      <c r="K89" s="40" t="s">
        <v>134</v>
      </c>
      <c r="L89" s="40" t="s">
        <v>134</v>
      </c>
      <c r="M89" s="40" t="s">
        <v>134</v>
      </c>
      <c r="N89" s="40" t="s">
        <v>134</v>
      </c>
      <c r="O89" s="40" t="s">
        <v>134</v>
      </c>
    </row>
    <row r="90" customFormat="false" ht="15" hidden="false" customHeight="false" outlineLevel="0" collapsed="false">
      <c r="A90" s="32" t="s">
        <v>749</v>
      </c>
      <c r="B90" s="32" t="s">
        <v>179</v>
      </c>
      <c r="C90" s="32" t="s">
        <v>750</v>
      </c>
      <c r="D90" s="39"/>
      <c r="E90" s="40" t="s">
        <v>134</v>
      </c>
      <c r="F90" s="40" t="s">
        <v>134</v>
      </c>
      <c r="G90" s="40" t="s">
        <v>134</v>
      </c>
      <c r="H90" s="40" t="s">
        <v>134</v>
      </c>
      <c r="I90" s="40" t="s">
        <v>134</v>
      </c>
      <c r="J90" s="40" t="s">
        <v>134</v>
      </c>
      <c r="K90" s="40" t="s">
        <v>134</v>
      </c>
      <c r="L90" s="40" t="s">
        <v>134</v>
      </c>
      <c r="M90" s="40" t="s">
        <v>134</v>
      </c>
      <c r="N90" s="40" t="s">
        <v>134</v>
      </c>
      <c r="O90" s="40" t="s">
        <v>134</v>
      </c>
    </row>
    <row r="91" customFormat="false" ht="15" hidden="false" customHeight="false" outlineLevel="0" collapsed="false">
      <c r="A91" s="32" t="s">
        <v>755</v>
      </c>
      <c r="B91" s="32" t="s">
        <v>179</v>
      </c>
      <c r="C91" s="32" t="s">
        <v>756</v>
      </c>
      <c r="D91" s="39"/>
      <c r="E91" s="40" t="s">
        <v>134</v>
      </c>
      <c r="F91" s="40" t="s">
        <v>134</v>
      </c>
      <c r="G91" s="40" t="s">
        <v>134</v>
      </c>
      <c r="H91" s="40" t="s">
        <v>134</v>
      </c>
      <c r="I91" s="40" t="s">
        <v>134</v>
      </c>
      <c r="J91" s="40" t="s">
        <v>134</v>
      </c>
      <c r="K91" s="40" t="s">
        <v>134</v>
      </c>
      <c r="L91" s="40" t="s">
        <v>134</v>
      </c>
      <c r="M91" s="40" t="s">
        <v>134</v>
      </c>
      <c r="N91" s="40" t="s">
        <v>134</v>
      </c>
      <c r="O91" s="40" t="s">
        <v>134</v>
      </c>
    </row>
    <row r="92" customFormat="false" ht="15" hidden="false" customHeight="false" outlineLevel="0" collapsed="false">
      <c r="A92" s="32" t="s">
        <v>762</v>
      </c>
      <c r="B92" s="32" t="s">
        <v>179</v>
      </c>
      <c r="C92" s="32" t="s">
        <v>763</v>
      </c>
      <c r="D92" s="39"/>
      <c r="E92" s="40" t="s">
        <v>134</v>
      </c>
      <c r="F92" s="40" t="s">
        <v>134</v>
      </c>
      <c r="G92" s="40" t="s">
        <v>134</v>
      </c>
      <c r="H92" s="40" t="s">
        <v>134</v>
      </c>
      <c r="I92" s="40" t="s">
        <v>134</v>
      </c>
      <c r="J92" s="40" t="s">
        <v>134</v>
      </c>
      <c r="K92" s="40" t="s">
        <v>134</v>
      </c>
      <c r="L92" s="40" t="s">
        <v>134</v>
      </c>
      <c r="M92" s="40" t="s">
        <v>134</v>
      </c>
      <c r="N92" s="40" t="s">
        <v>134</v>
      </c>
      <c r="O92" s="40" t="s">
        <v>134</v>
      </c>
    </row>
    <row r="93" customFormat="false" ht="15" hidden="false" customHeight="false" outlineLevel="0" collapsed="false">
      <c r="A93" s="32" t="s">
        <v>769</v>
      </c>
      <c r="B93" s="32" t="s">
        <v>179</v>
      </c>
      <c r="C93" s="32" t="s">
        <v>770</v>
      </c>
      <c r="D93" s="39"/>
      <c r="E93" s="40" t="s">
        <v>134</v>
      </c>
      <c r="F93" s="40" t="s">
        <v>134</v>
      </c>
      <c r="G93" s="40" t="s">
        <v>134</v>
      </c>
      <c r="H93" s="40" t="s">
        <v>134</v>
      </c>
      <c r="I93" s="40" t="s">
        <v>134</v>
      </c>
      <c r="J93" s="40" t="s">
        <v>134</v>
      </c>
      <c r="K93" s="40" t="s">
        <v>134</v>
      </c>
      <c r="L93" s="40" t="s">
        <v>134</v>
      </c>
      <c r="M93" s="40" t="s">
        <v>134</v>
      </c>
      <c r="N93" s="40" t="s">
        <v>134</v>
      </c>
      <c r="O93" s="40" t="s">
        <v>134</v>
      </c>
    </row>
    <row r="94" customFormat="false" ht="15" hidden="false" customHeight="false" outlineLevel="0" collapsed="false">
      <c r="A94" s="32" t="s">
        <v>777</v>
      </c>
      <c r="B94" s="32" t="s">
        <v>179</v>
      </c>
      <c r="C94" s="32" t="s">
        <v>778</v>
      </c>
      <c r="D94" s="39"/>
      <c r="E94" s="40" t="s">
        <v>134</v>
      </c>
      <c r="F94" s="40" t="s">
        <v>134</v>
      </c>
      <c r="G94" s="40" t="s">
        <v>134</v>
      </c>
      <c r="H94" s="40" t="s">
        <v>134</v>
      </c>
      <c r="I94" s="40" t="s">
        <v>134</v>
      </c>
      <c r="J94" s="40" t="s">
        <v>134</v>
      </c>
      <c r="K94" s="40" t="s">
        <v>134</v>
      </c>
      <c r="L94" s="40" t="s">
        <v>134</v>
      </c>
      <c r="M94" s="40" t="s">
        <v>134</v>
      </c>
      <c r="N94" s="40" t="s">
        <v>134</v>
      </c>
      <c r="O94" s="40" t="s">
        <v>134</v>
      </c>
    </row>
    <row r="95" customFormat="false" ht="15" hidden="false" customHeight="false" outlineLevel="0" collapsed="false">
      <c r="A95" s="32" t="s">
        <v>784</v>
      </c>
      <c r="B95" s="32" t="s">
        <v>179</v>
      </c>
      <c r="C95" s="32" t="s">
        <v>785</v>
      </c>
      <c r="D95" s="39"/>
      <c r="E95" s="40" t="s">
        <v>134</v>
      </c>
      <c r="F95" s="40" t="s">
        <v>134</v>
      </c>
      <c r="G95" s="40" t="s">
        <v>134</v>
      </c>
      <c r="H95" s="40" t="s">
        <v>134</v>
      </c>
      <c r="I95" s="40" t="s">
        <v>134</v>
      </c>
      <c r="J95" s="40" t="s">
        <v>134</v>
      </c>
      <c r="K95" s="40" t="s">
        <v>134</v>
      </c>
      <c r="L95" s="40" t="s">
        <v>134</v>
      </c>
      <c r="M95" s="40" t="s">
        <v>134</v>
      </c>
      <c r="N95" s="40" t="s">
        <v>134</v>
      </c>
      <c r="O95" s="40" t="s">
        <v>134</v>
      </c>
    </row>
    <row r="96" customFormat="false" ht="15" hidden="false" customHeight="false" outlineLevel="0" collapsed="false">
      <c r="A96" s="32" t="s">
        <v>791</v>
      </c>
      <c r="B96" s="32" t="s">
        <v>179</v>
      </c>
      <c r="C96" s="32" t="s">
        <v>792</v>
      </c>
      <c r="D96" s="39"/>
      <c r="E96" s="40" t="s">
        <v>134</v>
      </c>
      <c r="F96" s="40" t="s">
        <v>134</v>
      </c>
      <c r="G96" s="40" t="s">
        <v>134</v>
      </c>
      <c r="H96" s="40" t="s">
        <v>134</v>
      </c>
      <c r="I96" s="40" t="s">
        <v>134</v>
      </c>
      <c r="J96" s="40" t="s">
        <v>134</v>
      </c>
      <c r="K96" s="40" t="s">
        <v>134</v>
      </c>
      <c r="L96" s="40" t="s">
        <v>134</v>
      </c>
      <c r="M96" s="40" t="s">
        <v>134</v>
      </c>
      <c r="N96" s="40" t="s">
        <v>134</v>
      </c>
      <c r="O96" s="40" t="s">
        <v>134</v>
      </c>
    </row>
    <row r="97" customFormat="false" ht="15" hidden="false" customHeight="false" outlineLevel="0" collapsed="false">
      <c r="A97" s="32" t="s">
        <v>799</v>
      </c>
      <c r="B97" s="32" t="s">
        <v>180</v>
      </c>
      <c r="C97" s="32" t="s">
        <v>800</v>
      </c>
      <c r="D97" s="39"/>
      <c r="E97" s="40" t="s">
        <v>134</v>
      </c>
      <c r="F97" s="40" t="s">
        <v>133</v>
      </c>
      <c r="G97" s="40" t="s">
        <v>133</v>
      </c>
      <c r="H97" s="40" t="s">
        <v>133</v>
      </c>
      <c r="I97" s="40" t="s">
        <v>133</v>
      </c>
      <c r="J97" s="40" t="s">
        <v>133</v>
      </c>
      <c r="K97" s="40" t="s">
        <v>133</v>
      </c>
      <c r="L97" s="40" t="s">
        <v>133</v>
      </c>
      <c r="M97" s="40" t="s">
        <v>133</v>
      </c>
      <c r="N97" s="40" t="s">
        <v>133</v>
      </c>
      <c r="O97" s="40" t="s">
        <v>133</v>
      </c>
    </row>
    <row r="98" customFormat="false" ht="15" hidden="false" customHeight="false" outlineLevel="0" collapsed="false">
      <c r="A98" s="32" t="s">
        <v>805</v>
      </c>
      <c r="B98" s="32" t="s">
        <v>180</v>
      </c>
      <c r="C98" s="32" t="s">
        <v>806</v>
      </c>
      <c r="D98" s="39"/>
      <c r="E98" s="40" t="s">
        <v>134</v>
      </c>
      <c r="F98" s="40" t="s">
        <v>133</v>
      </c>
      <c r="G98" s="40" t="s">
        <v>133</v>
      </c>
      <c r="H98" s="40" t="s">
        <v>133</v>
      </c>
      <c r="I98" s="40" t="s">
        <v>133</v>
      </c>
      <c r="J98" s="40" t="s">
        <v>133</v>
      </c>
      <c r="K98" s="40" t="s">
        <v>133</v>
      </c>
      <c r="L98" s="40" t="s">
        <v>133</v>
      </c>
      <c r="M98" s="40" t="s">
        <v>133</v>
      </c>
      <c r="N98" s="40" t="s">
        <v>133</v>
      </c>
      <c r="O98" s="40" t="s">
        <v>133</v>
      </c>
    </row>
    <row r="99" customFormat="false" ht="15" hidden="false" customHeight="false" outlineLevel="0" collapsed="false">
      <c r="A99" s="32" t="s">
        <v>813</v>
      </c>
      <c r="B99" s="32" t="s">
        <v>180</v>
      </c>
      <c r="C99" s="32" t="s">
        <v>814</v>
      </c>
      <c r="D99" s="39"/>
      <c r="E99" s="40" t="s">
        <v>134</v>
      </c>
      <c r="F99" s="40" t="s">
        <v>133</v>
      </c>
      <c r="G99" s="40" t="s">
        <v>133</v>
      </c>
      <c r="H99" s="40" t="s">
        <v>133</v>
      </c>
      <c r="I99" s="40" t="s">
        <v>133</v>
      </c>
      <c r="J99" s="40" t="s">
        <v>133</v>
      </c>
      <c r="K99" s="40" t="s">
        <v>133</v>
      </c>
      <c r="L99" s="40" t="s">
        <v>133</v>
      </c>
      <c r="M99" s="40" t="s">
        <v>133</v>
      </c>
      <c r="N99" s="40" t="s">
        <v>133</v>
      </c>
      <c r="O99" s="40" t="s">
        <v>133</v>
      </c>
    </row>
    <row r="100" customFormat="false" ht="15" hidden="false" customHeight="false" outlineLevel="0" collapsed="false">
      <c r="A100" s="32" t="s">
        <v>819</v>
      </c>
      <c r="B100" s="32" t="s">
        <v>180</v>
      </c>
      <c r="C100" s="32" t="s">
        <v>820</v>
      </c>
      <c r="D100" s="39"/>
      <c r="E100" s="40" t="s">
        <v>134</v>
      </c>
      <c r="F100" s="40" t="s">
        <v>133</v>
      </c>
      <c r="G100" s="40" t="s">
        <v>133</v>
      </c>
      <c r="H100" s="40" t="s">
        <v>133</v>
      </c>
      <c r="I100" s="40" t="s">
        <v>133</v>
      </c>
      <c r="J100" s="40" t="s">
        <v>133</v>
      </c>
      <c r="K100" s="40" t="s">
        <v>133</v>
      </c>
      <c r="L100" s="40" t="s">
        <v>133</v>
      </c>
      <c r="M100" s="40" t="s">
        <v>133</v>
      </c>
      <c r="N100" s="40" t="s">
        <v>133</v>
      </c>
      <c r="O100" s="40" t="s">
        <v>133</v>
      </c>
    </row>
    <row r="101" customFormat="false" ht="15" hidden="false" customHeight="false" outlineLevel="0" collapsed="false">
      <c r="A101" s="32" t="s">
        <v>826</v>
      </c>
      <c r="B101" s="32" t="s">
        <v>180</v>
      </c>
      <c r="C101" s="32" t="s">
        <v>827</v>
      </c>
      <c r="D101" s="39"/>
      <c r="E101" s="40" t="s">
        <v>134</v>
      </c>
      <c r="F101" s="40" t="s">
        <v>133</v>
      </c>
      <c r="G101" s="40" t="s">
        <v>133</v>
      </c>
      <c r="H101" s="40" t="s">
        <v>133</v>
      </c>
      <c r="I101" s="40" t="s">
        <v>133</v>
      </c>
      <c r="J101" s="40" t="s">
        <v>133</v>
      </c>
      <c r="K101" s="40" t="s">
        <v>133</v>
      </c>
      <c r="L101" s="40" t="s">
        <v>133</v>
      </c>
      <c r="M101" s="40" t="s">
        <v>133</v>
      </c>
      <c r="N101" s="40" t="s">
        <v>133</v>
      </c>
      <c r="O101" s="40" t="s">
        <v>133</v>
      </c>
    </row>
    <row r="102" customFormat="false" ht="15" hidden="false" customHeight="false" outlineLevel="0" collapsed="false">
      <c r="A102" s="32" t="s">
        <v>832</v>
      </c>
      <c r="B102" s="32" t="s">
        <v>180</v>
      </c>
      <c r="C102" s="32" t="s">
        <v>833</v>
      </c>
      <c r="D102" s="39"/>
      <c r="E102" s="40" t="s">
        <v>134</v>
      </c>
      <c r="F102" s="40" t="s">
        <v>133</v>
      </c>
      <c r="G102" s="40" t="s">
        <v>133</v>
      </c>
      <c r="H102" s="40" t="s">
        <v>133</v>
      </c>
      <c r="I102" s="40" t="s">
        <v>133</v>
      </c>
      <c r="J102" s="40" t="s">
        <v>133</v>
      </c>
      <c r="K102" s="40" t="s">
        <v>133</v>
      </c>
      <c r="L102" s="40" t="s">
        <v>133</v>
      </c>
      <c r="M102" s="40" t="s">
        <v>133</v>
      </c>
      <c r="N102" s="40" t="s">
        <v>133</v>
      </c>
      <c r="O102" s="40" t="s">
        <v>133</v>
      </c>
    </row>
    <row r="103" customFormat="false" ht="15" hidden="false" customHeight="false" outlineLevel="0" collapsed="false">
      <c r="A103" s="32" t="s">
        <v>838</v>
      </c>
      <c r="B103" s="32" t="s">
        <v>180</v>
      </c>
      <c r="C103" s="32" t="s">
        <v>839</v>
      </c>
      <c r="D103" s="39"/>
      <c r="E103" s="40" t="s">
        <v>134</v>
      </c>
      <c r="F103" s="40" t="s">
        <v>133</v>
      </c>
      <c r="G103" s="40" t="s">
        <v>133</v>
      </c>
      <c r="H103" s="40" t="s">
        <v>133</v>
      </c>
      <c r="I103" s="40" t="s">
        <v>133</v>
      </c>
      <c r="J103" s="40" t="s">
        <v>133</v>
      </c>
      <c r="K103" s="40" t="s">
        <v>133</v>
      </c>
      <c r="L103" s="40" t="s">
        <v>133</v>
      </c>
      <c r="M103" s="40" t="s">
        <v>133</v>
      </c>
      <c r="N103" s="40" t="s">
        <v>133</v>
      </c>
      <c r="O103" s="40" t="s">
        <v>133</v>
      </c>
    </row>
    <row r="104" customFormat="false" ht="15" hidden="false" customHeight="false" outlineLevel="0" collapsed="false">
      <c r="A104" s="32" t="s">
        <v>845</v>
      </c>
      <c r="B104" s="32" t="s">
        <v>180</v>
      </c>
      <c r="C104" s="32" t="s">
        <v>846</v>
      </c>
      <c r="D104" s="39"/>
      <c r="E104" s="40" t="s">
        <v>134</v>
      </c>
      <c r="F104" s="40" t="s">
        <v>133</v>
      </c>
      <c r="G104" s="40" t="s">
        <v>133</v>
      </c>
      <c r="H104" s="40" t="s">
        <v>133</v>
      </c>
      <c r="I104" s="40" t="s">
        <v>133</v>
      </c>
      <c r="J104" s="40" t="s">
        <v>133</v>
      </c>
      <c r="K104" s="40" t="s">
        <v>133</v>
      </c>
      <c r="L104" s="40" t="s">
        <v>133</v>
      </c>
      <c r="M104" s="40" t="s">
        <v>133</v>
      </c>
      <c r="N104" s="40" t="s">
        <v>133</v>
      </c>
      <c r="O104" s="40" t="s">
        <v>133</v>
      </c>
    </row>
    <row r="105" customFormat="false" ht="15" hidden="false" customHeight="false" outlineLevel="0" collapsed="false">
      <c r="A105" s="32" t="s">
        <v>852</v>
      </c>
      <c r="B105" s="32" t="s">
        <v>180</v>
      </c>
      <c r="C105" s="32" t="s">
        <v>853</v>
      </c>
      <c r="D105" s="39"/>
      <c r="E105" s="40" t="s">
        <v>134</v>
      </c>
      <c r="F105" s="40" t="s">
        <v>134</v>
      </c>
      <c r="G105" s="40" t="s">
        <v>133</v>
      </c>
      <c r="H105" s="40" t="s">
        <v>133</v>
      </c>
      <c r="I105" s="40" t="s">
        <v>133</v>
      </c>
      <c r="J105" s="40" t="s">
        <v>133</v>
      </c>
      <c r="K105" s="40" t="s">
        <v>133</v>
      </c>
      <c r="L105" s="40" t="s">
        <v>133</v>
      </c>
      <c r="M105" s="40" t="s">
        <v>133</v>
      </c>
      <c r="N105" s="40" t="s">
        <v>133</v>
      </c>
      <c r="O105" s="40" t="s">
        <v>133</v>
      </c>
    </row>
    <row r="106" customFormat="false" ht="15" hidden="false" customHeight="false" outlineLevel="0" collapsed="false">
      <c r="A106" s="32" t="s">
        <v>858</v>
      </c>
      <c r="B106" s="32" t="s">
        <v>180</v>
      </c>
      <c r="C106" s="32" t="s">
        <v>859</v>
      </c>
      <c r="D106" s="39"/>
      <c r="E106" s="40" t="s">
        <v>133</v>
      </c>
      <c r="F106" s="40" t="s">
        <v>134</v>
      </c>
      <c r="G106" s="40" t="s">
        <v>133</v>
      </c>
      <c r="H106" s="40" t="s">
        <v>133</v>
      </c>
      <c r="I106" s="40" t="s">
        <v>133</v>
      </c>
      <c r="J106" s="40" t="s">
        <v>133</v>
      </c>
      <c r="K106" s="40" t="s">
        <v>133</v>
      </c>
      <c r="L106" s="40" t="s">
        <v>133</v>
      </c>
      <c r="M106" s="40" t="s">
        <v>133</v>
      </c>
      <c r="N106" s="40" t="s">
        <v>133</v>
      </c>
      <c r="O106" s="40" t="s">
        <v>133</v>
      </c>
    </row>
    <row r="107" customFormat="false" ht="15" hidden="false" customHeight="false" outlineLevel="0" collapsed="false">
      <c r="A107" s="32" t="s">
        <v>865</v>
      </c>
      <c r="B107" s="32" t="s">
        <v>180</v>
      </c>
      <c r="C107" s="32" t="s">
        <v>866</v>
      </c>
      <c r="D107" s="39"/>
      <c r="E107" s="40" t="s">
        <v>133</v>
      </c>
      <c r="F107" s="40" t="s">
        <v>134</v>
      </c>
      <c r="G107" s="40" t="s">
        <v>133</v>
      </c>
      <c r="H107" s="40" t="s">
        <v>133</v>
      </c>
      <c r="I107" s="40" t="s">
        <v>134</v>
      </c>
      <c r="J107" s="40" t="s">
        <v>133</v>
      </c>
      <c r="K107" s="40" t="s">
        <v>133</v>
      </c>
      <c r="L107" s="40" t="s">
        <v>133</v>
      </c>
      <c r="M107" s="40" t="s">
        <v>133</v>
      </c>
      <c r="N107" s="40" t="s">
        <v>133</v>
      </c>
      <c r="O107" s="40" t="s">
        <v>134</v>
      </c>
    </row>
    <row r="108" customFormat="false" ht="15" hidden="false" customHeight="false" outlineLevel="0" collapsed="false">
      <c r="A108" s="32" t="s">
        <v>872</v>
      </c>
      <c r="B108" s="32" t="s">
        <v>180</v>
      </c>
      <c r="C108" s="32" t="s">
        <v>873</v>
      </c>
      <c r="D108" s="39"/>
      <c r="E108" s="40" t="s">
        <v>133</v>
      </c>
      <c r="F108" s="40" t="s">
        <v>134</v>
      </c>
      <c r="G108" s="40" t="s">
        <v>133</v>
      </c>
      <c r="H108" s="40" t="s">
        <v>133</v>
      </c>
      <c r="I108" s="40" t="s">
        <v>133</v>
      </c>
      <c r="J108" s="40" t="s">
        <v>133</v>
      </c>
      <c r="K108" s="40" t="s">
        <v>133</v>
      </c>
      <c r="L108" s="40" t="s">
        <v>133</v>
      </c>
      <c r="M108" s="40" t="s">
        <v>133</v>
      </c>
      <c r="N108" s="40" t="s">
        <v>133</v>
      </c>
      <c r="O108" s="40" t="s">
        <v>133</v>
      </c>
    </row>
    <row r="109" customFormat="false" ht="15" hidden="false" customHeight="false" outlineLevel="0" collapsed="false">
      <c r="A109" s="32" t="s">
        <v>877</v>
      </c>
      <c r="B109" s="32" t="s">
        <v>180</v>
      </c>
      <c r="C109" s="32" t="s">
        <v>878</v>
      </c>
      <c r="D109" s="39"/>
      <c r="E109" s="40" t="s">
        <v>133</v>
      </c>
      <c r="F109" s="40" t="s">
        <v>133</v>
      </c>
      <c r="G109" s="40" t="s">
        <v>134</v>
      </c>
      <c r="H109" s="40" t="s">
        <v>133</v>
      </c>
      <c r="I109" s="40" t="s">
        <v>133</v>
      </c>
      <c r="J109" s="40" t="s">
        <v>133</v>
      </c>
      <c r="K109" s="40" t="s">
        <v>133</v>
      </c>
      <c r="L109" s="40" t="s">
        <v>133</v>
      </c>
      <c r="M109" s="40" t="s">
        <v>133</v>
      </c>
      <c r="N109" s="40" t="s">
        <v>133</v>
      </c>
      <c r="O109" s="40" t="s">
        <v>133</v>
      </c>
    </row>
    <row r="110" customFormat="false" ht="15" hidden="false" customHeight="false" outlineLevel="0" collapsed="false">
      <c r="A110" s="32" t="s">
        <v>883</v>
      </c>
      <c r="B110" s="32" t="s">
        <v>180</v>
      </c>
      <c r="C110" s="32" t="s">
        <v>884</v>
      </c>
      <c r="D110" s="39"/>
      <c r="E110" s="40" t="s">
        <v>133</v>
      </c>
      <c r="F110" s="40" t="s">
        <v>133</v>
      </c>
      <c r="G110" s="40" t="s">
        <v>134</v>
      </c>
      <c r="H110" s="40" t="s">
        <v>134</v>
      </c>
      <c r="I110" s="40" t="s">
        <v>133</v>
      </c>
      <c r="J110" s="40" t="s">
        <v>133</v>
      </c>
      <c r="K110" s="40" t="s">
        <v>133</v>
      </c>
      <c r="L110" s="40" t="s">
        <v>133</v>
      </c>
      <c r="M110" s="40" t="s">
        <v>133</v>
      </c>
      <c r="N110" s="40" t="s">
        <v>133</v>
      </c>
      <c r="O110" s="40" t="s">
        <v>133</v>
      </c>
    </row>
    <row r="111" customFormat="false" ht="15" hidden="false" customHeight="false" outlineLevel="0" collapsed="false">
      <c r="A111" s="32" t="s">
        <v>891</v>
      </c>
      <c r="B111" s="32" t="s">
        <v>180</v>
      </c>
      <c r="C111" s="32" t="s">
        <v>892</v>
      </c>
      <c r="D111" s="39"/>
      <c r="E111" s="40" t="s">
        <v>133</v>
      </c>
      <c r="F111" s="40" t="s">
        <v>133</v>
      </c>
      <c r="G111" s="40" t="s">
        <v>134</v>
      </c>
      <c r="H111" s="40" t="s">
        <v>134</v>
      </c>
      <c r="I111" s="40" t="s">
        <v>133</v>
      </c>
      <c r="J111" s="40" t="s">
        <v>133</v>
      </c>
      <c r="K111" s="40" t="s">
        <v>133</v>
      </c>
      <c r="L111" s="40" t="s">
        <v>133</v>
      </c>
      <c r="M111" s="40" t="s">
        <v>133</v>
      </c>
      <c r="N111" s="40" t="s">
        <v>133</v>
      </c>
      <c r="O111" s="40" t="s">
        <v>133</v>
      </c>
    </row>
    <row r="112" customFormat="false" ht="15" hidden="false" customHeight="false" outlineLevel="0" collapsed="false">
      <c r="A112" s="32" t="s">
        <v>898</v>
      </c>
      <c r="B112" s="32" t="s">
        <v>180</v>
      </c>
      <c r="C112" s="32" t="s">
        <v>899</v>
      </c>
      <c r="D112" s="39"/>
      <c r="E112" s="40" t="s">
        <v>133</v>
      </c>
      <c r="F112" s="40" t="s">
        <v>133</v>
      </c>
      <c r="G112" s="40" t="s">
        <v>134</v>
      </c>
      <c r="H112" s="40" t="s">
        <v>134</v>
      </c>
      <c r="I112" s="40" t="s">
        <v>133</v>
      </c>
      <c r="J112" s="40" t="s">
        <v>133</v>
      </c>
      <c r="K112" s="40" t="s">
        <v>133</v>
      </c>
      <c r="L112" s="40" t="s">
        <v>133</v>
      </c>
      <c r="M112" s="40" t="s">
        <v>133</v>
      </c>
      <c r="N112" s="40" t="s">
        <v>133</v>
      </c>
      <c r="O112" s="40" t="s">
        <v>133</v>
      </c>
    </row>
    <row r="113" customFormat="false" ht="15" hidden="false" customHeight="false" outlineLevel="0" collapsed="false">
      <c r="A113" s="32" t="s">
        <v>904</v>
      </c>
      <c r="B113" s="32" t="s">
        <v>180</v>
      </c>
      <c r="C113" s="32" t="s">
        <v>905</v>
      </c>
      <c r="D113" s="39"/>
      <c r="E113" s="40" t="s">
        <v>133</v>
      </c>
      <c r="F113" s="40" t="s">
        <v>133</v>
      </c>
      <c r="G113" s="40" t="s">
        <v>134</v>
      </c>
      <c r="H113" s="40" t="s">
        <v>133</v>
      </c>
      <c r="I113" s="40" t="s">
        <v>133</v>
      </c>
      <c r="J113" s="40" t="s">
        <v>133</v>
      </c>
      <c r="K113" s="40" t="s">
        <v>133</v>
      </c>
      <c r="L113" s="40" t="s">
        <v>133</v>
      </c>
      <c r="M113" s="40" t="s">
        <v>133</v>
      </c>
      <c r="N113" s="40" t="s">
        <v>133</v>
      </c>
      <c r="O113" s="40" t="s">
        <v>133</v>
      </c>
    </row>
    <row r="114" customFormat="false" ht="15" hidden="false" customHeight="false" outlineLevel="0" collapsed="false">
      <c r="A114" s="32" t="s">
        <v>910</v>
      </c>
      <c r="B114" s="32" t="s">
        <v>180</v>
      </c>
      <c r="C114" s="32" t="s">
        <v>911</v>
      </c>
      <c r="D114" s="39"/>
      <c r="E114" s="40" t="s">
        <v>133</v>
      </c>
      <c r="F114" s="40" t="s">
        <v>133</v>
      </c>
      <c r="G114" s="40" t="s">
        <v>133</v>
      </c>
      <c r="H114" s="40" t="s">
        <v>134</v>
      </c>
      <c r="I114" s="40" t="s">
        <v>133</v>
      </c>
      <c r="J114" s="40" t="s">
        <v>133</v>
      </c>
      <c r="K114" s="40" t="s">
        <v>133</v>
      </c>
      <c r="L114" s="40" t="s">
        <v>134</v>
      </c>
      <c r="M114" s="40" t="s">
        <v>133</v>
      </c>
      <c r="N114" s="40" t="s">
        <v>133</v>
      </c>
      <c r="O114" s="40" t="s">
        <v>133</v>
      </c>
    </row>
    <row r="115" customFormat="false" ht="15" hidden="false" customHeight="false" outlineLevel="0" collapsed="false">
      <c r="A115" s="32" t="s">
        <v>918</v>
      </c>
      <c r="B115" s="32" t="s">
        <v>180</v>
      </c>
      <c r="C115" s="32" t="s">
        <v>919</v>
      </c>
      <c r="D115" s="39"/>
      <c r="E115" s="40" t="s">
        <v>133</v>
      </c>
      <c r="F115" s="40" t="s">
        <v>133</v>
      </c>
      <c r="G115" s="40" t="s">
        <v>134</v>
      </c>
      <c r="H115" s="40" t="s">
        <v>134</v>
      </c>
      <c r="I115" s="40" t="s">
        <v>133</v>
      </c>
      <c r="J115" s="40" t="s">
        <v>133</v>
      </c>
      <c r="K115" s="40" t="s">
        <v>133</v>
      </c>
      <c r="L115" s="40" t="s">
        <v>133</v>
      </c>
      <c r="M115" s="40" t="s">
        <v>133</v>
      </c>
      <c r="N115" s="40" t="s">
        <v>133</v>
      </c>
      <c r="O115" s="40" t="s">
        <v>133</v>
      </c>
    </row>
    <row r="116" customFormat="false" ht="15" hidden="false" customHeight="false" outlineLevel="0" collapsed="false">
      <c r="A116" s="32" t="s">
        <v>925</v>
      </c>
      <c r="B116" s="32" t="s">
        <v>180</v>
      </c>
      <c r="C116" s="32" t="s">
        <v>926</v>
      </c>
      <c r="D116" s="39"/>
      <c r="E116" s="40" t="s">
        <v>133</v>
      </c>
      <c r="F116" s="40" t="s">
        <v>133</v>
      </c>
      <c r="G116" s="40" t="s">
        <v>133</v>
      </c>
      <c r="H116" s="40" t="s">
        <v>134</v>
      </c>
      <c r="I116" s="40" t="s">
        <v>133</v>
      </c>
      <c r="J116" s="40" t="s">
        <v>133</v>
      </c>
      <c r="K116" s="40" t="s">
        <v>133</v>
      </c>
      <c r="L116" s="40" t="s">
        <v>133</v>
      </c>
      <c r="M116" s="40" t="s">
        <v>133</v>
      </c>
      <c r="N116" s="40" t="s">
        <v>134</v>
      </c>
      <c r="O116" s="40" t="s">
        <v>133</v>
      </c>
    </row>
    <row r="117" customFormat="false" ht="15" hidden="false" customHeight="false" outlineLevel="0" collapsed="false">
      <c r="A117" s="32" t="s">
        <v>930</v>
      </c>
      <c r="B117" s="32" t="s">
        <v>180</v>
      </c>
      <c r="C117" s="32" t="s">
        <v>931</v>
      </c>
      <c r="D117" s="39"/>
      <c r="E117" s="40" t="s">
        <v>133</v>
      </c>
      <c r="F117" s="40" t="s">
        <v>133</v>
      </c>
      <c r="G117" s="40" t="s">
        <v>133</v>
      </c>
      <c r="H117" s="40" t="s">
        <v>134</v>
      </c>
      <c r="I117" s="40" t="s">
        <v>133</v>
      </c>
      <c r="J117" s="40" t="s">
        <v>133</v>
      </c>
      <c r="K117" s="40" t="s">
        <v>133</v>
      </c>
      <c r="L117" s="40" t="s">
        <v>133</v>
      </c>
      <c r="M117" s="40" t="s">
        <v>133</v>
      </c>
      <c r="N117" s="40" t="s">
        <v>134</v>
      </c>
      <c r="O117" s="40" t="s">
        <v>133</v>
      </c>
    </row>
    <row r="118" customFormat="false" ht="15" hidden="false" customHeight="false" outlineLevel="0" collapsed="false">
      <c r="A118" s="32" t="s">
        <v>935</v>
      </c>
      <c r="B118" s="32" t="s">
        <v>180</v>
      </c>
      <c r="C118" s="32" t="s">
        <v>936</v>
      </c>
      <c r="D118" s="39"/>
      <c r="E118" s="40" t="s">
        <v>133</v>
      </c>
      <c r="F118" s="40" t="s">
        <v>133</v>
      </c>
      <c r="G118" s="40" t="s">
        <v>133</v>
      </c>
      <c r="H118" s="40" t="s">
        <v>134</v>
      </c>
      <c r="I118" s="40" t="s">
        <v>133</v>
      </c>
      <c r="J118" s="40" t="s">
        <v>133</v>
      </c>
      <c r="K118" s="40" t="s">
        <v>133</v>
      </c>
      <c r="L118" s="40" t="s">
        <v>134</v>
      </c>
      <c r="M118" s="40" t="s">
        <v>133</v>
      </c>
      <c r="N118" s="40" t="s">
        <v>133</v>
      </c>
      <c r="O118" s="40" t="s">
        <v>133</v>
      </c>
    </row>
    <row r="119" customFormat="false" ht="15" hidden="false" customHeight="false" outlineLevel="0" collapsed="false">
      <c r="A119" s="32" t="s">
        <v>942</v>
      </c>
      <c r="B119" s="32" t="s">
        <v>180</v>
      </c>
      <c r="C119" s="32" t="s">
        <v>943</v>
      </c>
      <c r="D119" s="39"/>
      <c r="E119" s="40" t="s">
        <v>133</v>
      </c>
      <c r="F119" s="40" t="s">
        <v>134</v>
      </c>
      <c r="G119" s="40" t="s">
        <v>133</v>
      </c>
      <c r="H119" s="40" t="s">
        <v>133</v>
      </c>
      <c r="I119" s="40" t="s">
        <v>134</v>
      </c>
      <c r="J119" s="40" t="s">
        <v>133</v>
      </c>
      <c r="K119" s="40" t="s">
        <v>133</v>
      </c>
      <c r="L119" s="40" t="s">
        <v>133</v>
      </c>
      <c r="M119" s="40" t="s">
        <v>133</v>
      </c>
      <c r="N119" s="40" t="s">
        <v>133</v>
      </c>
      <c r="O119" s="40" t="s">
        <v>133</v>
      </c>
    </row>
    <row r="120" customFormat="false" ht="15" hidden="false" customHeight="false" outlineLevel="0" collapsed="false">
      <c r="A120" s="32" t="s">
        <v>946</v>
      </c>
      <c r="B120" s="32" t="s">
        <v>180</v>
      </c>
      <c r="C120" s="32" t="s">
        <v>947</v>
      </c>
      <c r="D120" s="39"/>
      <c r="E120" s="40" t="s">
        <v>133</v>
      </c>
      <c r="F120" s="40" t="s">
        <v>133</v>
      </c>
      <c r="G120" s="40" t="s">
        <v>133</v>
      </c>
      <c r="H120" s="40" t="s">
        <v>133</v>
      </c>
      <c r="I120" s="40" t="s">
        <v>134</v>
      </c>
      <c r="J120" s="40" t="s">
        <v>134</v>
      </c>
      <c r="K120" s="40" t="s">
        <v>133</v>
      </c>
      <c r="L120" s="40" t="s">
        <v>133</v>
      </c>
      <c r="M120" s="40" t="s">
        <v>133</v>
      </c>
      <c r="N120" s="40" t="s">
        <v>133</v>
      </c>
      <c r="O120" s="40" t="s">
        <v>133</v>
      </c>
    </row>
    <row r="121" customFormat="false" ht="15" hidden="false" customHeight="false" outlineLevel="0" collapsed="false">
      <c r="A121" s="32" t="s">
        <v>953</v>
      </c>
      <c r="B121" s="32" t="s">
        <v>180</v>
      </c>
      <c r="C121" s="32" t="s">
        <v>954</v>
      </c>
      <c r="D121" s="39"/>
      <c r="E121" s="40" t="s">
        <v>133</v>
      </c>
      <c r="F121" s="40" t="s">
        <v>133</v>
      </c>
      <c r="G121" s="40" t="s">
        <v>134</v>
      </c>
      <c r="H121" s="40" t="s">
        <v>133</v>
      </c>
      <c r="I121" s="40" t="s">
        <v>134</v>
      </c>
      <c r="J121" s="40" t="s">
        <v>133</v>
      </c>
      <c r="K121" s="40" t="s">
        <v>134</v>
      </c>
      <c r="L121" s="40" t="s">
        <v>133</v>
      </c>
      <c r="M121" s="40" t="s">
        <v>133</v>
      </c>
      <c r="N121" s="40" t="s">
        <v>133</v>
      </c>
      <c r="O121" s="40" t="s">
        <v>133</v>
      </c>
    </row>
    <row r="122" customFormat="false" ht="15" hidden="false" customHeight="false" outlineLevel="0" collapsed="false">
      <c r="A122" s="32" t="s">
        <v>960</v>
      </c>
      <c r="B122" s="32" t="s">
        <v>180</v>
      </c>
      <c r="C122" s="32" t="s">
        <v>961</v>
      </c>
      <c r="D122" s="39" t="s">
        <v>125</v>
      </c>
      <c r="E122" s="40" t="s">
        <v>133</v>
      </c>
      <c r="F122" s="40" t="s">
        <v>133</v>
      </c>
      <c r="G122" s="40" t="s">
        <v>134</v>
      </c>
      <c r="H122" s="40" t="s">
        <v>133</v>
      </c>
      <c r="I122" s="40" t="s">
        <v>134</v>
      </c>
      <c r="J122" s="40" t="s">
        <v>133</v>
      </c>
      <c r="K122" s="40" t="s">
        <v>133</v>
      </c>
      <c r="L122" s="40" t="s">
        <v>133</v>
      </c>
      <c r="M122" s="40" t="s">
        <v>133</v>
      </c>
      <c r="N122" s="40" t="s">
        <v>133</v>
      </c>
      <c r="O122" s="40" t="s">
        <v>133</v>
      </c>
    </row>
    <row r="123" customFormat="false" ht="15" hidden="false" customHeight="false" outlineLevel="0" collapsed="false">
      <c r="A123" s="32" t="s">
        <v>965</v>
      </c>
      <c r="B123" s="32" t="s">
        <v>180</v>
      </c>
      <c r="C123" s="32" t="s">
        <v>966</v>
      </c>
      <c r="D123" s="39"/>
      <c r="E123" s="40" t="s">
        <v>133</v>
      </c>
      <c r="F123" s="40" t="s">
        <v>133</v>
      </c>
      <c r="G123" s="40" t="s">
        <v>133</v>
      </c>
      <c r="H123" s="40" t="s">
        <v>133</v>
      </c>
      <c r="I123" s="40" t="s">
        <v>133</v>
      </c>
      <c r="J123" s="40" t="s">
        <v>134</v>
      </c>
      <c r="K123" s="40" t="s">
        <v>133</v>
      </c>
      <c r="L123" s="40" t="s">
        <v>133</v>
      </c>
      <c r="M123" s="40" t="s">
        <v>133</v>
      </c>
      <c r="N123" s="40" t="s">
        <v>133</v>
      </c>
      <c r="O123" s="40" t="s">
        <v>133</v>
      </c>
    </row>
    <row r="124" customFormat="false" ht="15" hidden="false" customHeight="false" outlineLevel="0" collapsed="false">
      <c r="A124" s="32" t="s">
        <v>971</v>
      </c>
      <c r="B124" s="32" t="s">
        <v>180</v>
      </c>
      <c r="C124" s="32" t="s">
        <v>972</v>
      </c>
      <c r="D124" s="39"/>
      <c r="E124" s="40" t="s">
        <v>133</v>
      </c>
      <c r="F124" s="40" t="s">
        <v>133</v>
      </c>
      <c r="G124" s="40" t="s">
        <v>133</v>
      </c>
      <c r="H124" s="40" t="s">
        <v>133</v>
      </c>
      <c r="I124" s="40" t="s">
        <v>133</v>
      </c>
      <c r="J124" s="40" t="s">
        <v>134</v>
      </c>
      <c r="K124" s="40" t="s">
        <v>133</v>
      </c>
      <c r="L124" s="40" t="s">
        <v>133</v>
      </c>
      <c r="M124" s="40" t="s">
        <v>133</v>
      </c>
      <c r="N124" s="40" t="s">
        <v>133</v>
      </c>
      <c r="O124" s="40" t="s">
        <v>133</v>
      </c>
    </row>
    <row r="125" customFormat="false" ht="15" hidden="false" customHeight="false" outlineLevel="0" collapsed="false">
      <c r="A125" s="32" t="s">
        <v>979</v>
      </c>
      <c r="B125" s="32" t="s">
        <v>180</v>
      </c>
      <c r="C125" s="32" t="s">
        <v>980</v>
      </c>
      <c r="D125" s="39"/>
      <c r="E125" s="40" t="s">
        <v>133</v>
      </c>
      <c r="F125" s="40" t="s">
        <v>133</v>
      </c>
      <c r="G125" s="40" t="s">
        <v>133</v>
      </c>
      <c r="H125" s="40" t="s">
        <v>133</v>
      </c>
      <c r="I125" s="40" t="s">
        <v>133</v>
      </c>
      <c r="J125" s="40" t="s">
        <v>134</v>
      </c>
      <c r="K125" s="40" t="s">
        <v>133</v>
      </c>
      <c r="L125" s="40" t="s">
        <v>133</v>
      </c>
      <c r="M125" s="40" t="s">
        <v>133</v>
      </c>
      <c r="N125" s="40" t="s">
        <v>133</v>
      </c>
      <c r="O125" s="40" t="s">
        <v>133</v>
      </c>
    </row>
    <row r="126" customFormat="false" ht="15" hidden="false" customHeight="false" outlineLevel="0" collapsed="false">
      <c r="A126" s="32" t="s">
        <v>985</v>
      </c>
      <c r="B126" s="32" t="s">
        <v>180</v>
      </c>
      <c r="C126" s="32" t="s">
        <v>986</v>
      </c>
      <c r="D126" s="39"/>
      <c r="E126" s="40" t="s">
        <v>133</v>
      </c>
      <c r="F126" s="40" t="s">
        <v>133</v>
      </c>
      <c r="G126" s="40" t="s">
        <v>133</v>
      </c>
      <c r="H126" s="40" t="s">
        <v>133</v>
      </c>
      <c r="I126" s="40" t="s">
        <v>133</v>
      </c>
      <c r="J126" s="40" t="s">
        <v>134</v>
      </c>
      <c r="K126" s="40" t="s">
        <v>133</v>
      </c>
      <c r="L126" s="40" t="s">
        <v>133</v>
      </c>
      <c r="M126" s="40" t="s">
        <v>133</v>
      </c>
      <c r="N126" s="40" t="s">
        <v>133</v>
      </c>
      <c r="O126" s="40" t="s">
        <v>133</v>
      </c>
    </row>
    <row r="127" customFormat="false" ht="15" hidden="false" customHeight="false" outlineLevel="0" collapsed="false">
      <c r="A127" s="32" t="s">
        <v>992</v>
      </c>
      <c r="B127" s="32" t="s">
        <v>180</v>
      </c>
      <c r="C127" s="32" t="s">
        <v>993</v>
      </c>
      <c r="D127" s="39"/>
      <c r="E127" s="40" t="s">
        <v>133</v>
      </c>
      <c r="F127" s="40" t="s">
        <v>133</v>
      </c>
      <c r="G127" s="40" t="s">
        <v>133</v>
      </c>
      <c r="H127" s="40" t="s">
        <v>133</v>
      </c>
      <c r="I127" s="40" t="s">
        <v>133</v>
      </c>
      <c r="J127" s="40" t="s">
        <v>133</v>
      </c>
      <c r="K127" s="40" t="s">
        <v>134</v>
      </c>
      <c r="L127" s="40" t="s">
        <v>133</v>
      </c>
      <c r="M127" s="40" t="s">
        <v>133</v>
      </c>
      <c r="N127" s="40" t="s">
        <v>133</v>
      </c>
      <c r="O127" s="40" t="s">
        <v>133</v>
      </c>
    </row>
    <row r="128" customFormat="false" ht="15" hidden="false" customHeight="false" outlineLevel="0" collapsed="false">
      <c r="A128" s="32" t="s">
        <v>999</v>
      </c>
      <c r="B128" s="32" t="s">
        <v>180</v>
      </c>
      <c r="C128" s="32" t="s">
        <v>1000</v>
      </c>
      <c r="D128" s="39"/>
      <c r="E128" s="40" t="s">
        <v>133</v>
      </c>
      <c r="F128" s="40" t="s">
        <v>133</v>
      </c>
      <c r="G128" s="40" t="s">
        <v>133</v>
      </c>
      <c r="H128" s="40" t="s">
        <v>133</v>
      </c>
      <c r="I128" s="40" t="s">
        <v>133</v>
      </c>
      <c r="J128" s="40" t="s">
        <v>133</v>
      </c>
      <c r="K128" s="40" t="s">
        <v>134</v>
      </c>
      <c r="L128" s="40" t="s">
        <v>133</v>
      </c>
      <c r="M128" s="40" t="s">
        <v>133</v>
      </c>
      <c r="N128" s="40" t="s">
        <v>133</v>
      </c>
      <c r="O128" s="40" t="s">
        <v>133</v>
      </c>
    </row>
    <row r="129" customFormat="false" ht="15" hidden="false" customHeight="false" outlineLevel="0" collapsed="false">
      <c r="A129" s="32" t="s">
        <v>1004</v>
      </c>
      <c r="B129" s="32" t="s">
        <v>180</v>
      </c>
      <c r="C129" s="32" t="s">
        <v>1005</v>
      </c>
      <c r="D129" s="39"/>
      <c r="E129" s="40" t="s">
        <v>133</v>
      </c>
      <c r="F129" s="40" t="s">
        <v>133</v>
      </c>
      <c r="G129" s="40" t="s">
        <v>133</v>
      </c>
      <c r="H129" s="40" t="s">
        <v>133</v>
      </c>
      <c r="I129" s="40" t="s">
        <v>133</v>
      </c>
      <c r="J129" s="40" t="s">
        <v>133</v>
      </c>
      <c r="K129" s="40" t="s">
        <v>134</v>
      </c>
      <c r="L129" s="40" t="s">
        <v>133</v>
      </c>
      <c r="M129" s="40" t="s">
        <v>133</v>
      </c>
      <c r="N129" s="40" t="s">
        <v>133</v>
      </c>
      <c r="O129" s="40" t="s">
        <v>133</v>
      </c>
    </row>
    <row r="130" customFormat="false" ht="15" hidden="false" customHeight="false" outlineLevel="0" collapsed="false">
      <c r="A130" s="32" t="s">
        <v>1010</v>
      </c>
      <c r="B130" s="32" t="s">
        <v>180</v>
      </c>
      <c r="C130" s="32" t="s">
        <v>1011</v>
      </c>
      <c r="D130" s="39"/>
      <c r="E130" s="40" t="s">
        <v>133</v>
      </c>
      <c r="F130" s="40" t="s">
        <v>133</v>
      </c>
      <c r="G130" s="40" t="s">
        <v>133</v>
      </c>
      <c r="H130" s="40" t="s">
        <v>133</v>
      </c>
      <c r="I130" s="40" t="s">
        <v>133</v>
      </c>
      <c r="J130" s="40" t="s">
        <v>133</v>
      </c>
      <c r="K130" s="40" t="s">
        <v>133</v>
      </c>
      <c r="L130" s="40" t="s">
        <v>134</v>
      </c>
      <c r="M130" s="40" t="s">
        <v>133</v>
      </c>
      <c r="N130" s="40" t="s">
        <v>133</v>
      </c>
      <c r="O130" s="40" t="s">
        <v>133</v>
      </c>
    </row>
    <row r="131" customFormat="false" ht="15" hidden="false" customHeight="false" outlineLevel="0" collapsed="false">
      <c r="A131" s="32" t="s">
        <v>1016</v>
      </c>
      <c r="B131" s="32" t="s">
        <v>180</v>
      </c>
      <c r="C131" s="32" t="s">
        <v>1017</v>
      </c>
      <c r="D131" s="39"/>
      <c r="E131" s="40" t="s">
        <v>133</v>
      </c>
      <c r="F131" s="40" t="s">
        <v>133</v>
      </c>
      <c r="G131" s="40" t="s">
        <v>133</v>
      </c>
      <c r="H131" s="40" t="s">
        <v>133</v>
      </c>
      <c r="I131" s="40" t="s">
        <v>133</v>
      </c>
      <c r="J131" s="40" t="s">
        <v>133</v>
      </c>
      <c r="K131" s="40" t="s">
        <v>133</v>
      </c>
      <c r="L131" s="40" t="s">
        <v>134</v>
      </c>
      <c r="M131" s="40" t="s">
        <v>133</v>
      </c>
      <c r="N131" s="40" t="s">
        <v>133</v>
      </c>
      <c r="O131" s="40" t="s">
        <v>133</v>
      </c>
    </row>
    <row r="132" customFormat="false" ht="15" hidden="false" customHeight="false" outlineLevel="0" collapsed="false">
      <c r="A132" s="32" t="s">
        <v>1022</v>
      </c>
      <c r="B132" s="32" t="s">
        <v>180</v>
      </c>
      <c r="C132" s="32" t="s">
        <v>1023</v>
      </c>
      <c r="D132" s="39"/>
      <c r="E132" s="40" t="s">
        <v>133</v>
      </c>
      <c r="F132" s="40" t="s">
        <v>133</v>
      </c>
      <c r="G132" s="40" t="s">
        <v>133</v>
      </c>
      <c r="H132" s="40" t="s">
        <v>133</v>
      </c>
      <c r="I132" s="40" t="s">
        <v>133</v>
      </c>
      <c r="J132" s="40" t="s">
        <v>133</v>
      </c>
      <c r="K132" s="40" t="s">
        <v>133</v>
      </c>
      <c r="L132" s="40" t="s">
        <v>134</v>
      </c>
      <c r="M132" s="40" t="s">
        <v>133</v>
      </c>
      <c r="N132" s="40" t="s">
        <v>133</v>
      </c>
      <c r="O132" s="40" t="s">
        <v>133</v>
      </c>
    </row>
    <row r="133" customFormat="false" ht="15" hidden="false" customHeight="false" outlineLevel="0" collapsed="false">
      <c r="A133" s="32" t="s">
        <v>1029</v>
      </c>
      <c r="B133" s="32" t="s">
        <v>180</v>
      </c>
      <c r="C133" s="32" t="s">
        <v>1030</v>
      </c>
      <c r="D133" s="39"/>
      <c r="E133" s="40" t="s">
        <v>133</v>
      </c>
      <c r="F133" s="40" t="s">
        <v>133</v>
      </c>
      <c r="G133" s="40" t="s">
        <v>133</v>
      </c>
      <c r="H133" s="40" t="s">
        <v>133</v>
      </c>
      <c r="I133" s="40" t="s">
        <v>133</v>
      </c>
      <c r="J133" s="40" t="s">
        <v>133</v>
      </c>
      <c r="K133" s="40" t="s">
        <v>133</v>
      </c>
      <c r="L133" s="40" t="s">
        <v>134</v>
      </c>
      <c r="M133" s="40" t="s">
        <v>133</v>
      </c>
      <c r="N133" s="40" t="s">
        <v>133</v>
      </c>
      <c r="O133" s="40" t="s">
        <v>133</v>
      </c>
    </row>
    <row r="134" customFormat="false" ht="15" hidden="false" customHeight="false" outlineLevel="0" collapsed="false">
      <c r="A134" s="32" t="s">
        <v>1034</v>
      </c>
      <c r="B134" s="32" t="s">
        <v>180</v>
      </c>
      <c r="C134" s="32" t="s">
        <v>1035</v>
      </c>
      <c r="D134" s="39"/>
      <c r="E134" s="40" t="s">
        <v>133</v>
      </c>
      <c r="F134" s="40" t="s">
        <v>133</v>
      </c>
      <c r="G134" s="40" t="s">
        <v>133</v>
      </c>
      <c r="H134" s="40" t="s">
        <v>133</v>
      </c>
      <c r="I134" s="40" t="s">
        <v>133</v>
      </c>
      <c r="J134" s="40" t="s">
        <v>133</v>
      </c>
      <c r="K134" s="40" t="s">
        <v>133</v>
      </c>
      <c r="L134" s="40" t="s">
        <v>133</v>
      </c>
      <c r="M134" s="40" t="s">
        <v>134</v>
      </c>
      <c r="N134" s="40" t="s">
        <v>133</v>
      </c>
      <c r="O134" s="40" t="s">
        <v>133</v>
      </c>
    </row>
    <row r="135" customFormat="false" ht="15" hidden="false" customHeight="false" outlineLevel="0" collapsed="false">
      <c r="A135" s="32" t="s">
        <v>1041</v>
      </c>
      <c r="B135" s="32" t="s">
        <v>180</v>
      </c>
      <c r="C135" s="32" t="s">
        <v>1042</v>
      </c>
      <c r="D135" s="39"/>
      <c r="E135" s="40" t="s">
        <v>133</v>
      </c>
      <c r="F135" s="40" t="s">
        <v>133</v>
      </c>
      <c r="G135" s="40" t="s">
        <v>133</v>
      </c>
      <c r="H135" s="40" t="s">
        <v>133</v>
      </c>
      <c r="I135" s="40" t="s">
        <v>133</v>
      </c>
      <c r="J135" s="40" t="s">
        <v>133</v>
      </c>
      <c r="K135" s="40" t="s">
        <v>133</v>
      </c>
      <c r="L135" s="40" t="s">
        <v>133</v>
      </c>
      <c r="M135" s="40" t="s">
        <v>134</v>
      </c>
      <c r="N135" s="40" t="s">
        <v>133</v>
      </c>
      <c r="O135" s="40" t="s">
        <v>133</v>
      </c>
    </row>
    <row r="136" customFormat="false" ht="15" hidden="false" customHeight="false" outlineLevel="0" collapsed="false">
      <c r="A136" s="32" t="s">
        <v>1047</v>
      </c>
      <c r="B136" s="32" t="s">
        <v>180</v>
      </c>
      <c r="C136" s="32" t="s">
        <v>1048</v>
      </c>
      <c r="D136" s="39"/>
      <c r="E136" s="40" t="s">
        <v>133</v>
      </c>
      <c r="F136" s="40" t="s">
        <v>133</v>
      </c>
      <c r="G136" s="40" t="s">
        <v>133</v>
      </c>
      <c r="H136" s="40" t="s">
        <v>133</v>
      </c>
      <c r="I136" s="40" t="s">
        <v>133</v>
      </c>
      <c r="J136" s="40" t="s">
        <v>133</v>
      </c>
      <c r="K136" s="40" t="s">
        <v>133</v>
      </c>
      <c r="L136" s="40" t="s">
        <v>133</v>
      </c>
      <c r="M136" s="40" t="s">
        <v>133</v>
      </c>
      <c r="N136" s="40" t="s">
        <v>134</v>
      </c>
      <c r="O136" s="40" t="s">
        <v>133</v>
      </c>
    </row>
    <row r="137" customFormat="false" ht="15" hidden="false" customHeight="false" outlineLevel="0" collapsed="false">
      <c r="A137" s="32" t="s">
        <v>1052</v>
      </c>
      <c r="B137" s="32" t="s">
        <v>180</v>
      </c>
      <c r="C137" s="32" t="s">
        <v>1053</v>
      </c>
      <c r="D137" s="39"/>
      <c r="E137" s="40" t="s">
        <v>133</v>
      </c>
      <c r="F137" s="40" t="s">
        <v>133</v>
      </c>
      <c r="G137" s="40" t="s">
        <v>133</v>
      </c>
      <c r="H137" s="40" t="s">
        <v>133</v>
      </c>
      <c r="I137" s="40" t="s">
        <v>133</v>
      </c>
      <c r="J137" s="40" t="s">
        <v>133</v>
      </c>
      <c r="K137" s="40" t="s">
        <v>133</v>
      </c>
      <c r="L137" s="40" t="s">
        <v>133</v>
      </c>
      <c r="M137" s="40" t="s">
        <v>133</v>
      </c>
      <c r="N137" s="40" t="s">
        <v>134</v>
      </c>
      <c r="O137" s="40" t="s">
        <v>133</v>
      </c>
    </row>
    <row r="138" customFormat="false" ht="15" hidden="false" customHeight="false" outlineLevel="0" collapsed="false">
      <c r="A138" s="32" t="s">
        <v>1057</v>
      </c>
      <c r="B138" s="32" t="s">
        <v>180</v>
      </c>
      <c r="C138" s="32" t="s">
        <v>1058</v>
      </c>
      <c r="D138" s="39"/>
      <c r="E138" s="40" t="s">
        <v>133</v>
      </c>
      <c r="F138" s="40" t="s">
        <v>133</v>
      </c>
      <c r="G138" s="40" t="s">
        <v>133</v>
      </c>
      <c r="H138" s="40" t="s">
        <v>133</v>
      </c>
      <c r="I138" s="40" t="s">
        <v>133</v>
      </c>
      <c r="J138" s="40" t="s">
        <v>133</v>
      </c>
      <c r="K138" s="40" t="s">
        <v>133</v>
      </c>
      <c r="L138" s="40" t="s">
        <v>133</v>
      </c>
      <c r="M138" s="40" t="s">
        <v>133</v>
      </c>
      <c r="N138" s="40" t="s">
        <v>134</v>
      </c>
      <c r="O138" s="40" t="s">
        <v>133</v>
      </c>
    </row>
    <row r="139" customFormat="false" ht="15" hidden="false" customHeight="false" outlineLevel="0" collapsed="false">
      <c r="A139" s="32" t="s">
        <v>1064</v>
      </c>
      <c r="B139" s="32" t="s">
        <v>180</v>
      </c>
      <c r="C139" s="32" t="s">
        <v>1065</v>
      </c>
      <c r="D139" s="39"/>
      <c r="E139" s="40" t="s">
        <v>133</v>
      </c>
      <c r="F139" s="40" t="s">
        <v>133</v>
      </c>
      <c r="G139" s="40" t="s">
        <v>133</v>
      </c>
      <c r="H139" s="40" t="s">
        <v>133</v>
      </c>
      <c r="I139" s="40" t="s">
        <v>133</v>
      </c>
      <c r="J139" s="40" t="s">
        <v>133</v>
      </c>
      <c r="K139" s="40" t="s">
        <v>133</v>
      </c>
      <c r="L139" s="40" t="s">
        <v>133</v>
      </c>
      <c r="M139" s="40" t="s">
        <v>133</v>
      </c>
      <c r="N139" s="40" t="s">
        <v>133</v>
      </c>
      <c r="O139" s="40" t="s">
        <v>134</v>
      </c>
    </row>
    <row r="140" customFormat="false" ht="15" hidden="false" customHeight="false" outlineLevel="0" collapsed="false">
      <c r="A140" s="32" t="s">
        <v>1071</v>
      </c>
      <c r="B140" s="32" t="s">
        <v>180</v>
      </c>
      <c r="C140" s="32" t="s">
        <v>1072</v>
      </c>
      <c r="D140" s="39"/>
      <c r="E140" s="40" t="s">
        <v>133</v>
      </c>
      <c r="F140" s="40" t="s">
        <v>133</v>
      </c>
      <c r="G140" s="40" t="s">
        <v>133</v>
      </c>
      <c r="H140" s="40" t="s">
        <v>133</v>
      </c>
      <c r="I140" s="40" t="s">
        <v>133</v>
      </c>
      <c r="J140" s="40" t="s">
        <v>133</v>
      </c>
      <c r="K140" s="40" t="s">
        <v>133</v>
      </c>
      <c r="L140" s="40" t="s">
        <v>133</v>
      </c>
      <c r="M140" s="40" t="s">
        <v>133</v>
      </c>
      <c r="N140" s="40" t="s">
        <v>133</v>
      </c>
      <c r="O140" s="40" t="s">
        <v>134</v>
      </c>
    </row>
    <row r="141" customFormat="false" ht="15" hidden="false" customHeight="false" outlineLevel="0" collapsed="false">
      <c r="A141" s="32" t="s">
        <v>1076</v>
      </c>
      <c r="B141" s="32" t="s">
        <v>180</v>
      </c>
      <c r="C141" s="32" t="s">
        <v>1077</v>
      </c>
      <c r="D141" s="39"/>
      <c r="E141" s="40" t="s">
        <v>133</v>
      </c>
      <c r="F141" s="40" t="s">
        <v>133</v>
      </c>
      <c r="G141" s="40" t="s">
        <v>133</v>
      </c>
      <c r="H141" s="40" t="s">
        <v>133</v>
      </c>
      <c r="I141" s="40" t="s">
        <v>133</v>
      </c>
      <c r="J141" s="40" t="s">
        <v>133</v>
      </c>
      <c r="K141" s="40" t="s">
        <v>133</v>
      </c>
      <c r="L141" s="40" t="s">
        <v>133</v>
      </c>
      <c r="M141" s="40" t="s">
        <v>133</v>
      </c>
      <c r="N141" s="40" t="s">
        <v>133</v>
      </c>
      <c r="O141" s="40" t="s">
        <v>134</v>
      </c>
    </row>
    <row r="142" customFormat="false" ht="15" hidden="false" customHeight="false" outlineLevel="0" collapsed="false">
      <c r="A142" s="32" t="s">
        <v>1081</v>
      </c>
      <c r="B142" s="32" t="s">
        <v>180</v>
      </c>
      <c r="C142" s="32" t="s">
        <v>1082</v>
      </c>
      <c r="D142" s="39"/>
      <c r="E142" s="40" t="s">
        <v>133</v>
      </c>
      <c r="F142" s="40" t="s">
        <v>133</v>
      </c>
      <c r="G142" s="40" t="s">
        <v>133</v>
      </c>
      <c r="H142" s="40" t="s">
        <v>133</v>
      </c>
      <c r="I142" s="40" t="s">
        <v>133</v>
      </c>
      <c r="J142" s="40" t="s">
        <v>133</v>
      </c>
      <c r="K142" s="40" t="s">
        <v>133</v>
      </c>
      <c r="L142" s="40" t="s">
        <v>133</v>
      </c>
      <c r="M142" s="40" t="s">
        <v>133</v>
      </c>
      <c r="N142" s="40" t="s">
        <v>133</v>
      </c>
      <c r="O142" s="40" t="s">
        <v>134</v>
      </c>
    </row>
  </sheetData>
  <autoFilter ref="A1:O142"/>
  <conditionalFormatting sqref="E2:O142">
    <cfRule type="cellIs" priority="2" operator="equal" aboveAverage="0" equalAverage="0" bottom="0" percent="0" rank="0" text="" dxfId="10">
      <formula>"Y"</formula>
    </cfRule>
    <cfRule type="cellIs" priority="3" operator="equal" aboveAverage="0" equalAverage="0" bottom="0" percent="0" rank="0" text="" dxfId="11">
      <formula>"N"</formula>
    </cfRule>
  </conditionalFormatting>
  <dataValidations count="2">
    <dataValidation allowBlank="false" errorStyle="stop" operator="between" showDropDown="false" showErrorMessage="false" showInputMessage="false" sqref="E2:O142" type="list">
      <formula1>"Y,N"</formula1>
      <formula2>0</formula2>
    </dataValidation>
    <dataValidation allowBlank="true" errorStyle="stop" operator="between" showDropDown="false" showErrorMessage="false" showInputMessage="false" sqref="D2:D142" type="list">
      <formula1>"Exports,Imports,SEZ Supplies,E-invoice,Multi-GSTIN"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23" t="s">
        <v>1124</v>
      </c>
      <c r="B1" s="23" t="s">
        <v>1125</v>
      </c>
      <c r="C1" s="23" t="s">
        <v>1126</v>
      </c>
    </row>
    <row r="2" customFormat="false" ht="15" hidden="false" customHeight="false" outlineLevel="0" collapsed="false">
      <c r="A2" s="41" t="s">
        <v>1127</v>
      </c>
      <c r="B2" s="41" t="s">
        <v>1128</v>
      </c>
      <c r="C2" s="41" t="s">
        <v>1129</v>
      </c>
    </row>
    <row r="3" customFormat="false" ht="15" hidden="false" customHeight="false" outlineLevel="0" collapsed="false">
      <c r="A3" s="41" t="s">
        <v>1130</v>
      </c>
      <c r="B3" s="41" t="s">
        <v>1131</v>
      </c>
      <c r="C3" s="41" t="s">
        <v>1132</v>
      </c>
    </row>
    <row r="4" customFormat="false" ht="15" hidden="false" customHeight="false" outlineLevel="0" collapsed="false">
      <c r="A4" s="41" t="s">
        <v>1133</v>
      </c>
      <c r="B4" s="41" t="s">
        <v>1134</v>
      </c>
      <c r="C4" s="41" t="s">
        <v>1135</v>
      </c>
    </row>
    <row r="5" customFormat="false" ht="15" hidden="false" customHeight="false" outlineLevel="0" collapsed="false">
      <c r="A5" s="41" t="s">
        <v>1136</v>
      </c>
      <c r="B5" s="41" t="s">
        <v>1137</v>
      </c>
      <c r="C5" s="41" t="s">
        <v>1138</v>
      </c>
    </row>
    <row r="6" customFormat="false" ht="15" hidden="false" customHeight="false" outlineLevel="0" collapsed="false">
      <c r="A6" s="41" t="s">
        <v>1139</v>
      </c>
      <c r="B6" s="41" t="s">
        <v>1140</v>
      </c>
      <c r="C6" s="41" t="s">
        <v>1141</v>
      </c>
    </row>
    <row r="7" customFormat="false" ht="15" hidden="false" customHeight="false" outlineLevel="0" collapsed="false">
      <c r="A7" s="41" t="s">
        <v>1142</v>
      </c>
      <c r="B7" s="41" t="s">
        <v>1143</v>
      </c>
      <c r="C7" s="41" t="s">
        <v>1144</v>
      </c>
    </row>
    <row r="8" customFormat="false" ht="15" hidden="false" customHeight="false" outlineLevel="0" collapsed="false">
      <c r="A8" s="41" t="s">
        <v>1145</v>
      </c>
      <c r="B8" s="41" t="s">
        <v>1146</v>
      </c>
      <c r="C8" s="41" t="s">
        <v>1147</v>
      </c>
    </row>
    <row r="9" customFormat="false" ht="15" hidden="false" customHeight="false" outlineLevel="0" collapsed="false">
      <c r="A9" s="41" t="s">
        <v>1148</v>
      </c>
      <c r="B9" s="41" t="s">
        <v>1149</v>
      </c>
      <c r="C9" s="41" t="s">
        <v>1150</v>
      </c>
    </row>
    <row r="10" customFormat="false" ht="15" hidden="false" customHeight="false" outlineLevel="0" collapsed="false">
      <c r="A10" s="41" t="s">
        <v>1151</v>
      </c>
      <c r="B10" s="41" t="s">
        <v>1152</v>
      </c>
      <c r="C10" s="41" t="s">
        <v>1153</v>
      </c>
    </row>
    <row r="11" customFormat="false" ht="15" hidden="false" customHeight="false" outlineLevel="0" collapsed="false">
      <c r="A11" s="41" t="s">
        <v>1154</v>
      </c>
      <c r="B11" s="41" t="s">
        <v>1155</v>
      </c>
      <c r="C11" s="41" t="s">
        <v>1156</v>
      </c>
    </row>
    <row r="12" customFormat="false" ht="15" hidden="false" customHeight="false" outlineLevel="0" collapsed="false">
      <c r="A12" s="41" t="s">
        <v>1157</v>
      </c>
      <c r="B12" s="41" t="s">
        <v>1158</v>
      </c>
      <c r="C12" s="41" t="s">
        <v>1159</v>
      </c>
    </row>
    <row r="13" customFormat="false" ht="15" hidden="false" customHeight="false" outlineLevel="0" collapsed="false">
      <c r="A13" s="41" t="s">
        <v>1160</v>
      </c>
      <c r="B13" s="41" t="s">
        <v>1161</v>
      </c>
      <c r="C13" s="41" t="s">
        <v>1162</v>
      </c>
    </row>
    <row r="14" customFormat="false" ht="15" hidden="false" customHeight="false" outlineLevel="0" collapsed="false">
      <c r="A14" s="41" t="s">
        <v>1163</v>
      </c>
      <c r="B14" s="41" t="s">
        <v>1164</v>
      </c>
      <c r="C14" s="41" t="s">
        <v>1165</v>
      </c>
    </row>
    <row r="15" customFormat="false" ht="15" hidden="false" customHeight="false" outlineLevel="0" collapsed="false">
      <c r="A15" s="41" t="s">
        <v>1166</v>
      </c>
      <c r="B15" s="41" t="s">
        <v>1167</v>
      </c>
      <c r="C15" s="41" t="s">
        <v>1168</v>
      </c>
    </row>
    <row r="16" customFormat="false" ht="15" hidden="false" customHeight="false" outlineLevel="0" collapsed="false">
      <c r="A16" s="41" t="s">
        <v>1169</v>
      </c>
      <c r="B16" s="41" t="s">
        <v>1170</v>
      </c>
      <c r="C16" s="41" t="s">
        <v>1171</v>
      </c>
    </row>
    <row r="17" customFormat="false" ht="15" hidden="false" customHeight="false" outlineLevel="0" collapsed="false">
      <c r="A17" s="41" t="s">
        <v>1172</v>
      </c>
      <c r="B17" s="41" t="s">
        <v>1173</v>
      </c>
      <c r="C17" s="41" t="s">
        <v>1174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23.85" hidden="false" customHeight="false" outlineLevel="0" collapsed="false">
      <c r="A1" s="42" t="s">
        <v>1088</v>
      </c>
      <c r="B1" s="42" t="s">
        <v>1175</v>
      </c>
      <c r="C1" s="42" t="s">
        <v>1176</v>
      </c>
      <c r="D1" s="42" t="s">
        <v>1177</v>
      </c>
    </row>
    <row r="2" customFormat="false" ht="15" hidden="false" customHeight="false" outlineLevel="0" collapsed="false">
      <c r="A2" s="24" t="s">
        <v>1178</v>
      </c>
      <c r="B2" s="43" t="n">
        <v>43866</v>
      </c>
      <c r="C2" s="43" t="n">
        <v>45291</v>
      </c>
      <c r="D2" s="24" t="s">
        <v>1179</v>
      </c>
    </row>
    <row r="3" customFormat="false" ht="15" hidden="false" customHeight="false" outlineLevel="0" collapsed="false">
      <c r="A3" s="24" t="s">
        <v>1180</v>
      </c>
      <c r="B3" s="43" t="n">
        <v>44196</v>
      </c>
      <c r="C3" s="43" t="n">
        <v>45412</v>
      </c>
      <c r="D3" s="24" t="s">
        <v>1181</v>
      </c>
    </row>
    <row r="4" customFormat="false" ht="15" hidden="false" customHeight="false" outlineLevel="0" collapsed="false">
      <c r="A4" s="24" t="s">
        <v>1182</v>
      </c>
      <c r="B4" s="43" t="n">
        <v>44286</v>
      </c>
      <c r="C4" s="43" t="n">
        <v>45535</v>
      </c>
      <c r="D4" s="24" t="s">
        <v>1181</v>
      </c>
    </row>
    <row r="5" customFormat="false" ht="15" hidden="false" customHeight="false" outlineLevel="0" collapsed="false">
      <c r="A5" s="24" t="s">
        <v>1183</v>
      </c>
      <c r="B5" s="43" t="n">
        <v>44620</v>
      </c>
      <c r="C5" s="43"/>
      <c r="D5" s="24" t="s">
        <v>1184</v>
      </c>
    </row>
    <row r="6" customFormat="false" ht="15" hidden="false" customHeight="false" outlineLevel="0" collapsed="false">
      <c r="A6" s="24" t="s">
        <v>1185</v>
      </c>
      <c r="B6" s="43" t="n">
        <v>44926</v>
      </c>
      <c r="C6" s="43"/>
      <c r="D6" s="24" t="s">
        <v>1186</v>
      </c>
    </row>
    <row r="7" customFormat="false" ht="15" hidden="false" customHeight="false" outlineLevel="0" collapsed="false">
      <c r="A7" s="24" t="s">
        <v>1107</v>
      </c>
      <c r="B7" s="43" t="n">
        <v>45291</v>
      </c>
      <c r="C7" s="43"/>
      <c r="D7" s="24" t="s">
        <v>1186</v>
      </c>
    </row>
    <row r="8" customFormat="false" ht="15" hidden="false" customHeight="false" outlineLevel="0" collapsed="false">
      <c r="A8" s="24" t="s">
        <v>1187</v>
      </c>
      <c r="B8" s="43" t="n">
        <v>45657</v>
      </c>
      <c r="C8" s="43"/>
      <c r="D8" s="24" t="s">
        <v>1186</v>
      </c>
    </row>
    <row r="9" customFormat="false" ht="15" hidden="false" customHeight="false" outlineLevel="0" collapsed="false">
      <c r="A9" s="24" t="s">
        <v>1188</v>
      </c>
      <c r="B9" s="43" t="n">
        <v>46022</v>
      </c>
      <c r="C9" s="43"/>
      <c r="D9" s="24" t="s">
        <v>1189</v>
      </c>
    </row>
    <row r="10" customFormat="false" ht="15" hidden="false" customHeight="false" outlineLevel="0" collapsed="false">
      <c r="A10" s="24" t="s">
        <v>1190</v>
      </c>
      <c r="B10" s="43" t="n">
        <v>46387</v>
      </c>
      <c r="C10" s="43"/>
      <c r="D10" s="24" t="s">
        <v>1189</v>
      </c>
    </row>
    <row r="12" customFormat="false" ht="15" hidden="false" customHeight="false" outlineLevel="0" collapsed="false">
      <c r="A12" s="16" t="s">
        <v>1191</v>
      </c>
      <c r="B12" s="44" t="n">
        <v>0.18</v>
      </c>
    </row>
    <row r="13" customFormat="false" ht="15" hidden="false" customHeight="false" outlineLevel="0" collapsed="false">
      <c r="A13" s="16" t="s">
        <v>1192</v>
      </c>
      <c r="B13" s="45" t="n">
        <f aca="true">TODAY()</f>
        <v>46286</v>
      </c>
    </row>
    <row r="14" customFormat="false" ht="15" hidden="false" customHeight="false" outlineLevel="0" collapsed="false">
      <c r="A14" s="16" t="s">
        <v>1193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2026-09-21T09:14:28Z</dcterms:created>
  <dc:creator>openpyxl</dc:creator>
  <dc:description/>
  <dc:language>en-US</dc:language>
  <cp:lastModifiedBy/>
  <dcterms:modified xsi:type="dcterms:W3CDTF">2026-09-21T09:14:28Z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